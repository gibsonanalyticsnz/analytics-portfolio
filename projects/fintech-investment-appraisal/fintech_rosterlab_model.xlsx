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ibs\Downloads\"/>
    </mc:Choice>
  </mc:AlternateContent>
  <xr:revisionPtr revIDLastSave="0" documentId="13_ncr:1_{962DE5DE-45D3-4EF7-AF35-BF6D4877D215}" xr6:coauthVersionLast="47" xr6:coauthVersionMax="47" xr10:uidLastSave="{00000000-0000-0000-0000-000000000000}"/>
  <bookViews>
    <workbookView xWindow="-108" yWindow="-108" windowWidth="23256" windowHeight="12456" firstSheet="1" activeTab="3" xr2:uid="{14551B78-ED68-423B-AB3D-80ECEA364ED4}"/>
  </bookViews>
  <sheets>
    <sheet name="Regression Analysis" sheetId="4" state="hidden" r:id="rId1"/>
    <sheet name="Beta" sheetId="3" r:id="rId2"/>
    <sheet name="WACC" sheetId="1" r:id="rId3"/>
    <sheet name="Sensitivit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5" l="1"/>
  <c r="E6" i="5"/>
  <c r="BP6" i="5" s="1"/>
  <c r="E5" i="5"/>
  <c r="D7" i="5"/>
  <c r="B7" i="5"/>
  <c r="D5" i="5"/>
  <c r="D6" i="5"/>
  <c r="B6" i="5"/>
  <c r="B5" i="5"/>
  <c r="E32" i="1"/>
  <c r="F32" i="1" s="1"/>
  <c r="G8" i="1"/>
  <c r="G23" i="5"/>
  <c r="G12" i="1"/>
  <c r="G18" i="5"/>
  <c r="C44" i="1"/>
  <c r="I12" i="5"/>
  <c r="D13" i="5"/>
  <c r="E13" i="5" s="1"/>
  <c r="F13" i="5" s="1"/>
  <c r="G13" i="5" s="1"/>
  <c r="D12" i="5"/>
  <c r="E12" i="5" s="1"/>
  <c r="F12" i="5" s="1"/>
  <c r="G12" i="5" s="1"/>
  <c r="G9" i="1"/>
  <c r="G6" i="1"/>
  <c r="G5" i="1"/>
  <c r="H8" i="3"/>
  <c r="H6" i="3"/>
  <c r="H5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E3" i="3"/>
  <c r="D3" i="3"/>
  <c r="BP7" i="5" l="1"/>
  <c r="BP5" i="5"/>
  <c r="G7" i="1"/>
  <c r="G10" i="1" s="1"/>
  <c r="F68" i="1"/>
  <c r="G68" i="1"/>
  <c r="H68" i="1"/>
  <c r="I68" i="1"/>
  <c r="E68" i="1"/>
  <c r="H51" i="1"/>
  <c r="G51" i="1"/>
  <c r="F51" i="1"/>
  <c r="E51" i="1"/>
  <c r="D51" i="1"/>
  <c r="D60" i="1" s="1"/>
  <c r="G62" i="1"/>
  <c r="I55" i="1" s="1"/>
  <c r="G32" i="1"/>
  <c r="H32" i="1" s="1"/>
  <c r="I32" i="1" s="1"/>
  <c r="G11" i="1" l="1"/>
  <c r="D68" i="1" s="1"/>
  <c r="H55" i="1"/>
  <c r="E50" i="1"/>
  <c r="E42" i="1" s="1"/>
  <c r="E61" i="1" s="1"/>
  <c r="F55" i="1" l="1"/>
  <c r="F59" i="1" s="1"/>
  <c r="G55" i="1"/>
  <c r="G59" i="1" s="1"/>
  <c r="H59" i="1"/>
  <c r="I59" i="1"/>
  <c r="E55" i="1"/>
  <c r="E59" i="1" s="1"/>
  <c r="E53" i="1"/>
  <c r="F53" i="1" s="1"/>
  <c r="G53" i="1" s="1"/>
  <c r="H53" i="1" s="1"/>
  <c r="I53" i="1" s="1"/>
  <c r="E52" i="1"/>
  <c r="D62" i="1"/>
  <c r="D65" i="1" s="1"/>
  <c r="F29" i="1" l="1"/>
  <c r="E54" i="1"/>
  <c r="E56" i="1" s="1"/>
  <c r="E57" i="1" l="1"/>
  <c r="E58" i="1" s="1"/>
  <c r="E60" i="1" s="1"/>
  <c r="E65" i="1" s="1"/>
  <c r="G29" i="1"/>
  <c r="H29" i="1" s="1"/>
  <c r="H50" i="1" s="1"/>
  <c r="F50" i="1"/>
  <c r="D69" i="1"/>
  <c r="F52" i="1" l="1"/>
  <c r="F54" i="1" s="1"/>
  <c r="F56" i="1" s="1"/>
  <c r="F42" i="1"/>
  <c r="I29" i="1"/>
  <c r="I50" i="1" s="1"/>
  <c r="G50" i="1"/>
  <c r="G42" i="1" s="1"/>
  <c r="E69" i="1"/>
  <c r="F57" i="1" l="1"/>
  <c r="F58" i="1" s="1"/>
  <c r="F60" i="1" s="1"/>
  <c r="G61" i="1"/>
  <c r="F61" i="1"/>
  <c r="H52" i="1"/>
  <c r="H54" i="1" s="1"/>
  <c r="H56" i="1" s="1"/>
  <c r="H42" i="1"/>
  <c r="I52" i="1"/>
  <c r="I54" i="1" s="1"/>
  <c r="I56" i="1" s="1"/>
  <c r="I42" i="1"/>
  <c r="G52" i="1"/>
  <c r="G54" i="1" s="1"/>
  <c r="G56" i="1" s="1"/>
  <c r="H57" i="1" l="1"/>
  <c r="H58" i="1" s="1"/>
  <c r="H60" i="1" s="1"/>
  <c r="I57" i="1"/>
  <c r="I58" i="1" s="1"/>
  <c r="I60" i="1" s="1"/>
  <c r="F65" i="1"/>
  <c r="G57" i="1"/>
  <c r="G58" i="1" s="1"/>
  <c r="G60" i="1" s="1"/>
  <c r="G65" i="1" s="1"/>
  <c r="H61" i="1"/>
  <c r="F69" i="1" l="1"/>
  <c r="I61" i="1"/>
  <c r="I65" i="1" s="1"/>
  <c r="I69" i="1" s="1"/>
  <c r="H65" i="1"/>
  <c r="G13" i="1" s="1"/>
  <c r="G69" i="1"/>
  <c r="H69" i="1" l="1"/>
  <c r="C69" i="1" s="1"/>
  <c r="C71" i="1"/>
  <c r="B1" i="5" s="1"/>
  <c r="F5" i="5" s="1"/>
  <c r="C5" i="5" l="1"/>
  <c r="C6" i="5"/>
  <c r="F6" i="5" s="1"/>
  <c r="C7" i="5"/>
  <c r="F7" i="5" s="1"/>
</calcChain>
</file>

<file path=xl/sharedStrings.xml><?xml version="1.0" encoding="utf-8"?>
<sst xmlns="http://schemas.openxmlformats.org/spreadsheetml/2006/main" count="209" uniqueCount="171">
  <si>
    <t>Worldwide market</t>
  </si>
  <si>
    <t>WW market growth</t>
  </si>
  <si>
    <t xml:space="preserve">Depreciation </t>
  </si>
  <si>
    <t>p.a.</t>
  </si>
  <si>
    <t>Revenue</t>
  </si>
  <si>
    <t>Variable Production Costs</t>
  </si>
  <si>
    <t>of revenue</t>
  </si>
  <si>
    <t>Fixed Production Costs</t>
  </si>
  <si>
    <t>Period</t>
  </si>
  <si>
    <t>-Variable Operating Costs</t>
  </si>
  <si>
    <t>-Fixed Operating Costs</t>
  </si>
  <si>
    <t>EBITDA</t>
  </si>
  <si>
    <t>-Depreciation</t>
  </si>
  <si>
    <t>-Tax</t>
  </si>
  <si>
    <t>add back Depreciation</t>
  </si>
  <si>
    <t>PVIF</t>
  </si>
  <si>
    <t>NPV (by formula)</t>
  </si>
  <si>
    <t>PV of annual CFs</t>
  </si>
  <si>
    <t>NWC (% Sales)</t>
  </si>
  <si>
    <t>Date</t>
  </si>
  <si>
    <t>WACC</t>
  </si>
  <si>
    <t>RosterLab market share</t>
  </si>
  <si>
    <t>RosterLab Advertising spend</t>
  </si>
  <si>
    <t>Initial &amp; subsequent Investment</t>
  </si>
  <si>
    <t>TNE_AdjClose</t>
  </si>
  <si>
    <t>ASX_AdjClose</t>
  </si>
  <si>
    <t>TNE β</t>
  </si>
  <si>
    <t>Tax Rate - NZ</t>
  </si>
  <si>
    <t>Tax Rate - AU</t>
  </si>
  <si>
    <t>D - TNE</t>
  </si>
  <si>
    <t>E - TNE</t>
  </si>
  <si>
    <t xml:space="preserve">TNE_ASSET β </t>
  </si>
  <si>
    <t>market share growth</t>
  </si>
  <si>
    <t>-Advertising &amp; Marketing</t>
  </si>
  <si>
    <t>EAT (Earnings After Tax)</t>
  </si>
  <si>
    <t>EBIT (Earnings Before Interest &amp; Tax)</t>
  </si>
  <si>
    <t>Operating Cash Flow</t>
  </si>
  <si>
    <t>Free Cash Flows</t>
  </si>
  <si>
    <t xml:space="preserve">   </t>
  </si>
  <si>
    <t xml:space="preserve">       NPV</t>
  </si>
  <si>
    <t>RosterLab β</t>
  </si>
  <si>
    <t>Free Cash Flow to Firm (FCFF) &amp; Discounted Cash Flow(DCF) Model</t>
  </si>
  <si>
    <t>Y0</t>
  </si>
  <si>
    <t>Y1</t>
  </si>
  <si>
    <t>Y2</t>
  </si>
  <si>
    <t>Y3</t>
  </si>
  <si>
    <t>Y4</t>
  </si>
  <si>
    <t>Equipment Cost                  Y0</t>
  </si>
  <si>
    <t>Assumption</t>
  </si>
  <si>
    <t>TNE Return</t>
  </si>
  <si>
    <t>ASX Return</t>
  </si>
  <si>
    <t>Covariance</t>
  </si>
  <si>
    <t>Variance</t>
  </si>
  <si>
    <t>D/E</t>
  </si>
  <si>
    <t>Targer D/E</t>
  </si>
  <si>
    <t>Debt Weight</t>
  </si>
  <si>
    <t>Equity Weight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</si>
  <si>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</si>
  <si>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</si>
  <si>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</si>
  <si>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</si>
  <si>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</si>
  <si>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</si>
  <si>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</si>
  <si>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</si>
  <si>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</si>
  <si>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</si>
  <si>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</si>
  <si>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</si>
  <si>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</si>
  <si>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</si>
  <si>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</si>
  <si>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</si>
  <si>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</si>
  <si>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</si>
  <si>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</si>
  <si>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</si>
  <si>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</si>
  <si>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</si>
  <si>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</si>
  <si>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</si>
  <si>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</si>
  <si>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Base</t>
  </si>
  <si>
    <t>NPV_Base =</t>
  </si>
  <si>
    <t>Down Case (-1%)</t>
  </si>
  <si>
    <t>Up Case (+1%)</t>
  </si>
  <si>
    <t>NPV</t>
  </si>
  <si>
    <t>Impact</t>
  </si>
  <si>
    <t>Market Share</t>
  </si>
  <si>
    <t>Variable Operating Cost</t>
  </si>
  <si>
    <t>Impact (+_5%)</t>
  </si>
  <si>
    <t>Impact (+_1%)</t>
  </si>
  <si>
    <t>Project Given data</t>
  </si>
  <si>
    <t>Given Data</t>
  </si>
  <si>
    <t>Calculated Data</t>
  </si>
  <si>
    <t>Description</t>
  </si>
  <si>
    <t>Value</t>
  </si>
  <si>
    <t>Applicable Corporate tax rate</t>
  </si>
  <si>
    <t>Unlevering comparable firm beta</t>
  </si>
  <si>
    <t>Debt percentage of TechnologyOne</t>
  </si>
  <si>
    <t>Equity percentage of TechnologyOne</t>
  </si>
  <si>
    <t>Intended capital structure for RosterLab expansion</t>
  </si>
  <si>
    <t>Risk-Free rate</t>
  </si>
  <si>
    <t>Market return</t>
  </si>
  <si>
    <t>Cost of debt for Rooster lab</t>
  </si>
  <si>
    <t>Levered beta from regression (ref: Beta tab)</t>
  </si>
  <si>
    <t>Debt-to-equity ratio of TNE</t>
  </si>
  <si>
    <t>Unlevered beta</t>
  </si>
  <si>
    <t>Target capital structure debt weight</t>
  </si>
  <si>
    <t>Target capital structure Equity weight</t>
  </si>
  <si>
    <t>Relevered beta for project risk</t>
  </si>
  <si>
    <t>Cost of equity from CAPM</t>
  </si>
  <si>
    <t>Weighted average cost of capital</t>
  </si>
  <si>
    <t>Formulas Used</t>
  </si>
  <si>
    <t>=COVARIANCE.S(TNE_returns, Market_returns) / VAR.S(Market_returns)</t>
  </si>
  <si>
    <t>TNE β​=Cov(RTNE​,RM​)​/Var(RM​)</t>
  </si>
  <si>
    <t>TNE_ASSET β ​=βE​​/(1+(1−T)*(D/E))​</t>
  </si>
  <si>
    <t>RosterLab β​=βA​×(1+(1−T)*(D/E)​)</t>
  </si>
  <si>
    <t>=TNE β​/ (1 + (1 - Tax_AU) * (D_TNE / E_TNE))</t>
  </si>
  <si>
    <t>=TNE_ASSET β ​* (1 + (1 - Tax_NZ) * Target_DE)</t>
  </si>
  <si>
    <t>rE​=rf​+β(rM​−rf​)</t>
  </si>
  <si>
    <t>=rf + RosterLab β * (rM - rf)</t>
  </si>
  <si>
    <t>WACC=wE​rE​+wD​rD​(1−T)</t>
  </si>
  <si>
    <t>Debt Weight (wD)= Target_DE / (1 + Target_DE)</t>
  </si>
  <si>
    <t>Equity Weight (wE)=1 / (1 + Target_DE)</t>
  </si>
  <si>
    <t>=Equity_Weight * rE + Debt_Weight * rD * (1 - Tax_NZ)</t>
  </si>
  <si>
    <t>WACC - Discounted Rate used</t>
  </si>
  <si>
    <t>FCFF = EBIT(1 − T) + Dep − CapEx − ΔNWC</t>
  </si>
  <si>
    <t>Project life is 5 years, hence there is no terminal value assumed.</t>
  </si>
  <si>
    <t>Sensitivity Analysis Summary</t>
  </si>
  <si>
    <t>Variable</t>
  </si>
  <si>
    <t>Down Case NPV</t>
  </si>
  <si>
    <t>Base NPV</t>
  </si>
  <si>
    <t>Up Case NPV</t>
  </si>
  <si>
    <t>% Impact</t>
  </si>
  <si>
    <t>Market Share (±1%)</t>
  </si>
  <si>
    <t>Variable Cost (±5%)</t>
  </si>
  <si>
    <t>WACC (±1%)</t>
  </si>
  <si>
    <t>Interpretation</t>
  </si>
  <si>
    <t>Share Stock (Input)</t>
  </si>
  <si>
    <t>Input this highlighted cell</t>
  </si>
  <si>
    <t>WACC (Input here)</t>
  </si>
  <si>
    <t>NPV is highly sensitive to variable cost assumptions, with a swing exceeding 5× the base NPV</t>
  </si>
  <si>
    <t>Sensitivity Conclusion</t>
  </si>
  <si>
    <t>• The project is most sensitive to variable cost assumptions.</t>
  </si>
  <si>
    <t>• Revenue (market share) assumptions also materially affect value.</t>
  </si>
  <si>
    <t>Therefore, operational execution risk dominates financing risk.</t>
  </si>
  <si>
    <t>Using Max value, for tax not to carry forward and earnings is negative</t>
  </si>
  <si>
    <t>β = Cov(Ri, Rm) / Var(Rm)</t>
  </si>
  <si>
    <t xml:space="preserve">β </t>
  </si>
  <si>
    <t>Here R square value is 12.98%</t>
  </si>
  <si>
    <t>Approximately only 13% of TechnologyOne’s return variation is explained by market movements.</t>
  </si>
  <si>
    <t>Statistical Significance:</t>
  </si>
  <si>
    <t>p-value = 0.0047 &lt; 0.05</t>
  </si>
  <si>
    <t>β  is statistically significant at 5% level.</t>
  </si>
  <si>
    <t>β  &lt;1 - Hence it is a defensive stock</t>
  </si>
  <si>
    <t>TechnologyOne’s beta is 0.659 and statistically significant (p = 0.0047)</t>
  </si>
  <si>
    <t>The regression model is statistically valid (F = 8.65)</t>
  </si>
  <si>
    <t>β &lt; 1 suggests that TechnologyOne is a defensive stock with lower systematic risk than the market.</t>
  </si>
  <si>
    <t>The R² of 12.98% indicates that most return variation is firm-specific rather than market-driven,  Approximately only 13% return variation is explained by market movements.</t>
  </si>
  <si>
    <r>
      <t>r</t>
    </r>
    <r>
      <rPr>
        <vertAlign val="subscript"/>
        <sz val="11"/>
        <color theme="1"/>
        <rFont val="Calibri"/>
        <family val="2"/>
        <scheme val="minor"/>
      </rPr>
      <t>F</t>
    </r>
  </si>
  <si>
    <r>
      <t>r</t>
    </r>
    <r>
      <rPr>
        <vertAlign val="subscript"/>
        <sz val="11"/>
        <color theme="1"/>
        <rFont val="Calibri"/>
        <family val="2"/>
        <scheme val="minor"/>
      </rPr>
      <t>M</t>
    </r>
  </si>
  <si>
    <r>
      <t>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(Cost of Equity)</t>
    </r>
  </si>
  <si>
    <r>
      <t>r</t>
    </r>
    <r>
      <rPr>
        <vertAlign val="subscript"/>
        <sz val="11"/>
        <color theme="1"/>
        <rFont val="Calibri"/>
        <family val="2"/>
        <scheme val="minor"/>
      </rPr>
      <t>D</t>
    </r>
  </si>
  <si>
    <r>
      <rPr>
        <b/>
        <sz val="11"/>
        <color rgb="FFFF0000"/>
        <rFont val="Calibri"/>
        <family val="2"/>
        <scheme val="minor"/>
      </rPr>
      <t xml:space="preserve">Changes </t>
    </r>
    <r>
      <rPr>
        <b/>
        <sz val="11"/>
        <rFont val="Calibri"/>
        <family val="2"/>
        <scheme val="minor"/>
      </rPr>
      <t>in NWC</t>
    </r>
  </si>
  <si>
    <t>IRR</t>
  </si>
  <si>
    <t>NPV shows relatively low sensitivity or negative impact to changes in the discount rate.</t>
  </si>
  <si>
    <t>• Discount rate changes have relatively lower impact/no impact on positive side.</t>
  </si>
  <si>
    <t>NPV changes by approximately 8.5× the base NPV, indicating high operating sensitivity</t>
  </si>
  <si>
    <t xml:space="preserve"> Impact Value</t>
  </si>
  <si>
    <t>Internal Rate of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</si>
</sst>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0.0000"/>
    <numFmt numFmtId="166" formatCode="_-&quot;$&quot;* #,##0_-;\-&quot;$&quot;* #,##0_-;_-&quot;$&quot;* &quot;-&quot;????_-;_-@_-"/>
    <numFmt numFmtId="167" formatCode="0.0%"/>
    <numFmt numFmtId="168" formatCode="yyyy\-mm\-dd"/>
    <numFmt numFmtId="169" formatCode="&quot;$&quot;#,##0.00"/>
    <numFmt numFmtId="170" formatCode="0.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Lucida Sans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Lucida Sans"/>
      <family val="2"/>
    </font>
    <font>
      <b/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2">
    <xf numFmtId="0" fontId="0" fillId="0" borderId="0" xfId="0"/>
    <xf numFmtId="0" fontId="0" fillId="0" borderId="23" xfId="0" applyBorder="1"/>
    <xf numFmtId="0" fontId="4" fillId="0" borderId="48" xfId="0" applyFont="1" applyBorder="1" applyAlignment="1">
      <alignment horizontal="center"/>
    </xf>
    <xf numFmtId="0" fontId="4" fillId="0" borderId="48" xfId="0" applyFont="1" applyBorder="1" applyAlignment="1">
      <alignment horizontal="centerContinuous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/>
    <xf numFmtId="0" fontId="3" fillId="0" borderId="0" xfId="0" applyFont="1" applyAlignment="1">
      <alignment horizontal="center"/>
    </xf>
    <xf numFmtId="0" fontId="6" fillId="4" borderId="2" xfId="0" applyFont="1" applyFill="1" applyBorder="1" applyAlignment="1">
      <alignment horizontal="left"/>
    </xf>
    <xf numFmtId="3" fontId="0" fillId="0" borderId="0" xfId="0" applyNumberFormat="1" applyAlignment="1">
      <alignment vertical="center" wrapText="1"/>
    </xf>
    <xf numFmtId="0" fontId="2" fillId="6" borderId="1" xfId="0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left"/>
    </xf>
    <xf numFmtId="3" fontId="0" fillId="0" borderId="1" xfId="0" applyNumberFormat="1" applyBorder="1" applyAlignment="1">
      <alignment horizontal="left" vertical="center" wrapText="1"/>
    </xf>
    <xf numFmtId="0" fontId="7" fillId="0" borderId="1" xfId="0" applyFont="1" applyBorder="1"/>
    <xf numFmtId="6" fontId="3" fillId="7" borderId="1" xfId="0" applyNumberFormat="1" applyFont="1" applyFill="1" applyBorder="1"/>
    <xf numFmtId="9" fontId="3" fillId="3" borderId="39" xfId="0" applyNumberFormat="1" applyFont="1" applyFill="1" applyBorder="1"/>
    <xf numFmtId="10" fontId="3" fillId="3" borderId="39" xfId="0" applyNumberFormat="1" applyFont="1" applyFill="1" applyBorder="1"/>
    <xf numFmtId="0" fontId="3" fillId="8" borderId="39" xfId="0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0" fontId="0" fillId="8" borderId="1" xfId="0" applyFill="1" applyBorder="1"/>
    <xf numFmtId="10" fontId="0" fillId="8" borderId="1" xfId="0" applyNumberFormat="1" applyFill="1" applyBorder="1"/>
    <xf numFmtId="6" fontId="0" fillId="8" borderId="1" xfId="0" applyNumberFormat="1" applyFill="1" applyBorder="1"/>
    <xf numFmtId="0" fontId="0" fillId="2" borderId="0" xfId="0" applyFill="1"/>
    <xf numFmtId="0" fontId="3" fillId="9" borderId="1" xfId="0" applyFont="1" applyFill="1" applyBorder="1"/>
    <xf numFmtId="10" fontId="3" fillId="9" borderId="1" xfId="0" applyNumberFormat="1" applyFont="1" applyFill="1" applyBorder="1"/>
    <xf numFmtId="0" fontId="3" fillId="9" borderId="1" xfId="0" applyFont="1" applyFill="1" applyBorder="1" applyAlignment="1">
      <alignment horizontal="right"/>
    </xf>
    <xf numFmtId="0" fontId="0" fillId="9" borderId="1" xfId="0" applyFill="1" applyBorder="1"/>
    <xf numFmtId="6" fontId="0" fillId="9" borderId="1" xfId="0" applyNumberFormat="1" applyFill="1" applyBorder="1"/>
    <xf numFmtId="6" fontId="3" fillId="9" borderId="1" xfId="0" applyNumberFormat="1" applyFont="1" applyFill="1" applyBorder="1"/>
    <xf numFmtId="0" fontId="3" fillId="9" borderId="39" xfId="0" applyFont="1" applyFill="1" applyBorder="1"/>
    <xf numFmtId="0" fontId="3" fillId="10" borderId="1" xfId="0" applyFont="1" applyFill="1" applyBorder="1"/>
    <xf numFmtId="10" fontId="3" fillId="10" borderId="1" xfId="0" applyNumberFormat="1" applyFont="1" applyFill="1" applyBorder="1"/>
    <xf numFmtId="0" fontId="3" fillId="10" borderId="1" xfId="0" applyFont="1" applyFill="1" applyBorder="1" applyAlignment="1">
      <alignment horizontal="right"/>
    </xf>
    <xf numFmtId="0" fontId="0" fillId="10" borderId="1" xfId="0" applyFill="1" applyBorder="1"/>
    <xf numFmtId="6" fontId="0" fillId="10" borderId="1" xfId="0" applyNumberFormat="1" applyFill="1" applyBorder="1"/>
    <xf numFmtId="6" fontId="0" fillId="10" borderId="1" xfId="0" applyNumberFormat="1" applyFill="1" applyBorder="1" applyAlignment="1">
      <alignment horizontal="right"/>
    </xf>
    <xf numFmtId="0" fontId="3" fillId="10" borderId="39" xfId="0" applyFont="1" applyFill="1" applyBorder="1"/>
    <xf numFmtId="0" fontId="3" fillId="3" borderId="0" xfId="0" applyFont="1" applyFill="1"/>
    <xf numFmtId="0" fontId="3" fillId="8" borderId="1" xfId="0" applyFont="1" applyFill="1" applyBorder="1" applyAlignment="1">
      <alignment horizontal="right"/>
    </xf>
    <xf numFmtId="44" fontId="0" fillId="0" borderId="1" xfId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9" fillId="11" borderId="28" xfId="0" applyFont="1" applyFill="1" applyBorder="1" applyAlignment="1">
      <alignment horizontal="center" vertical="center"/>
    </xf>
    <xf numFmtId="0" fontId="9" fillId="11" borderId="54" xfId="0" applyFont="1" applyFill="1" applyBorder="1" applyAlignment="1">
      <alignment horizontal="center" vertical="center"/>
    </xf>
    <xf numFmtId="0" fontId="3" fillId="11" borderId="54" xfId="0" applyFont="1" applyFill="1" applyBorder="1" applyAlignment="1">
      <alignment horizontal="center" vertical="center"/>
    </xf>
    <xf numFmtId="0" fontId="3" fillId="11" borderId="4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0" fillId="0" borderId="25" xfId="0" applyNumberFormat="1" applyBorder="1" applyAlignment="1">
      <alignment horizontal="center" vertical="center"/>
    </xf>
    <xf numFmtId="165" fontId="0" fillId="0" borderId="26" xfId="0" applyNumberForma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68" fontId="0" fillId="0" borderId="1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168" fontId="0" fillId="0" borderId="15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0" xfId="0" applyBorder="1"/>
    <xf numFmtId="0" fontId="0" fillId="2" borderId="0" xfId="0" applyFill="1" applyAlignment="1">
      <alignment horizontal="center"/>
    </xf>
    <xf numFmtId="0" fontId="3" fillId="6" borderId="2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3" fillId="6" borderId="9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left"/>
    </xf>
    <xf numFmtId="0" fontId="0" fillId="5" borderId="19" xfId="0" applyFill="1" applyBorder="1" applyAlignment="1">
      <alignment horizontal="left"/>
    </xf>
    <xf numFmtId="10" fontId="0" fillId="5" borderId="20" xfId="0" applyNumberFormat="1" applyFill="1" applyBorder="1" applyAlignment="1">
      <alignment horizontal="left"/>
    </xf>
    <xf numFmtId="0" fontId="0" fillId="2" borderId="51" xfId="0" applyFill="1" applyBorder="1" applyAlignment="1">
      <alignment horizontal="center"/>
    </xf>
    <xf numFmtId="170" fontId="0" fillId="2" borderId="52" xfId="0" applyNumberFormat="1" applyFill="1" applyBorder="1" applyAlignment="1">
      <alignment horizontal="center"/>
    </xf>
    <xf numFmtId="0" fontId="0" fillId="2" borderId="53" xfId="0" applyFill="1" applyBorder="1" applyAlignment="1">
      <alignment horizontal="left"/>
    </xf>
    <xf numFmtId="0" fontId="0" fillId="5" borderId="17" xfId="0" applyFill="1" applyBorder="1" applyAlignment="1">
      <alignment horizontal="left"/>
    </xf>
    <xf numFmtId="10" fontId="0" fillId="5" borderId="18" xfId="0" applyNumberFormat="1" applyFill="1" applyBorder="1" applyAlignment="1">
      <alignment horizontal="left"/>
    </xf>
    <xf numFmtId="0" fontId="0" fillId="2" borderId="13" xfId="0" applyFill="1" applyBorder="1" applyAlignment="1">
      <alignment horizontal="center"/>
    </xf>
    <xf numFmtId="170" fontId="0" fillId="2" borderId="1" xfId="0" applyNumberFormat="1" applyFill="1" applyBorder="1" applyAlignment="1">
      <alignment horizontal="center"/>
    </xf>
    <xf numFmtId="0" fontId="0" fillId="2" borderId="14" xfId="0" applyFill="1" applyBorder="1" applyAlignment="1">
      <alignment horizontal="left"/>
    </xf>
    <xf numFmtId="2" fontId="0" fillId="5" borderId="18" xfId="0" applyNumberFormat="1" applyFill="1" applyBorder="1" applyAlignment="1">
      <alignment horizontal="center"/>
    </xf>
    <xf numFmtId="2" fontId="0" fillId="5" borderId="18" xfId="0" applyNumberFormat="1" applyFill="1" applyBorder="1" applyAlignment="1">
      <alignment horizontal="left"/>
    </xf>
    <xf numFmtId="9" fontId="0" fillId="2" borderId="1" xfId="2" applyFont="1" applyFill="1" applyBorder="1" applyAlignment="1">
      <alignment horizontal="center"/>
    </xf>
    <xf numFmtId="9" fontId="0" fillId="5" borderId="18" xfId="2" applyFont="1" applyFill="1" applyBorder="1" applyAlignment="1">
      <alignment horizontal="center"/>
    </xf>
    <xf numFmtId="9" fontId="0" fillId="5" borderId="18" xfId="2" applyFont="1" applyFill="1" applyBorder="1" applyAlignment="1">
      <alignment horizontal="left"/>
    </xf>
    <xf numFmtId="10" fontId="0" fillId="5" borderId="18" xfId="3" applyNumberFormat="1" applyFont="1" applyFill="1" applyBorder="1" applyAlignment="1">
      <alignment horizontal="center"/>
    </xf>
    <xf numFmtId="10" fontId="0" fillId="5" borderId="18" xfId="3" applyNumberFormat="1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43" fontId="3" fillId="2" borderId="1" xfId="3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0" fontId="0" fillId="5" borderId="49" xfId="0" applyFill="1" applyBorder="1" applyAlignment="1">
      <alignment horizontal="left"/>
    </xf>
    <xf numFmtId="10" fontId="0" fillId="5" borderId="50" xfId="0" applyNumberFormat="1" applyFill="1" applyBorder="1" applyAlignment="1">
      <alignment horizontal="center"/>
    </xf>
    <xf numFmtId="10" fontId="0" fillId="5" borderId="50" xfId="0" applyNumberForma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10" fontId="3" fillId="2" borderId="24" xfId="0" applyNumberFormat="1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0" xfId="0" quotePrefix="1" applyFill="1"/>
    <xf numFmtId="0" fontId="0" fillId="2" borderId="10" xfId="0" applyFill="1" applyBorder="1"/>
    <xf numFmtId="0" fontId="0" fillId="2" borderId="11" xfId="0" applyFill="1" applyBorder="1"/>
    <xf numFmtId="164" fontId="12" fillId="2" borderId="0" xfId="0" applyNumberFormat="1" applyFont="1" applyFill="1" applyAlignment="1">
      <alignment horizontal="center"/>
    </xf>
    <xf numFmtId="0" fontId="12" fillId="2" borderId="0" xfId="0" applyFont="1" applyFill="1"/>
    <xf numFmtId="10" fontId="0" fillId="2" borderId="0" xfId="0" applyNumberFormat="1" applyFill="1" applyAlignment="1">
      <alignment horizontal="right"/>
    </xf>
    <xf numFmtId="10" fontId="0" fillId="2" borderId="0" xfId="0" applyNumberForma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12" fillId="2" borderId="5" xfId="0" applyFont="1" applyFill="1" applyBorder="1" applyAlignment="1">
      <alignment horizontal="right" vertical="center"/>
    </xf>
    <xf numFmtId="0" fontId="12" fillId="2" borderId="25" xfId="0" applyFont="1" applyFill="1" applyBorder="1" applyAlignment="1">
      <alignment horizontal="right" vertical="center"/>
    </xf>
    <xf numFmtId="164" fontId="12" fillId="2" borderId="26" xfId="1" applyNumberFormat="1" applyFont="1" applyFill="1" applyBorder="1" applyAlignment="1">
      <alignment horizontal="right" vertical="center"/>
    </xf>
    <xf numFmtId="164" fontId="12" fillId="2" borderId="26" xfId="0" applyNumberFormat="1" applyFont="1" applyFill="1" applyBorder="1" applyAlignment="1">
      <alignment horizontal="right" vertical="center"/>
    </xf>
    <xf numFmtId="164" fontId="12" fillId="2" borderId="27" xfId="0" applyNumberFormat="1" applyFont="1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13" xfId="0" applyFill="1" applyBorder="1" applyAlignment="1">
      <alignment horizontal="right" vertical="center"/>
    </xf>
    <xf numFmtId="9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2" borderId="14" xfId="0" applyFill="1" applyBorder="1" applyAlignment="1">
      <alignment horizontal="right" vertical="center"/>
    </xf>
    <xf numFmtId="9" fontId="0" fillId="2" borderId="13" xfId="0" applyNumberFormat="1" applyFill="1" applyBorder="1" applyAlignment="1">
      <alignment horizontal="right" vertical="center"/>
    </xf>
    <xf numFmtId="10" fontId="0" fillId="2" borderId="13" xfId="0" applyNumberFormat="1" applyFill="1" applyBorder="1" applyAlignment="1">
      <alignment horizontal="right" vertical="center"/>
    </xf>
    <xf numFmtId="10" fontId="0" fillId="2" borderId="1" xfId="0" applyNumberFormat="1" applyFill="1" applyBorder="1" applyAlignment="1">
      <alignment horizontal="right" vertical="center"/>
    </xf>
    <xf numFmtId="10" fontId="0" fillId="2" borderId="14" xfId="0" applyNumberFormat="1" applyFill="1" applyBorder="1" applyAlignment="1">
      <alignment horizontal="right" vertical="center"/>
    </xf>
    <xf numFmtId="164" fontId="0" fillId="2" borderId="13" xfId="1" applyNumberFormat="1" applyFont="1" applyFill="1" applyBorder="1" applyAlignment="1">
      <alignment horizontal="right" vertical="center"/>
    </xf>
    <xf numFmtId="0" fontId="3" fillId="2" borderId="0" xfId="0" applyFont="1" applyFill="1"/>
    <xf numFmtId="164" fontId="0" fillId="2" borderId="13" xfId="1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10" fontId="0" fillId="2" borderId="13" xfId="2" applyNumberFormat="1" applyFon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4" fontId="0" fillId="2" borderId="14" xfId="0" applyNumberFormat="1" applyFill="1" applyBorder="1" applyAlignment="1">
      <alignment horizontal="right" vertical="center"/>
    </xf>
    <xf numFmtId="167" fontId="0" fillId="2" borderId="13" xfId="0" applyNumberForma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right"/>
    </xf>
    <xf numFmtId="0" fontId="5" fillId="2" borderId="0" xfId="0" applyFont="1" applyFill="1"/>
    <xf numFmtId="0" fontId="0" fillId="2" borderId="7" xfId="0" applyFill="1" applyBorder="1" applyAlignment="1">
      <alignment horizontal="right" vertical="center"/>
    </xf>
    <xf numFmtId="164" fontId="0" fillId="2" borderId="15" xfId="1" applyNumberFormat="1" applyFont="1" applyFill="1" applyBorder="1" applyAlignment="1">
      <alignment horizontal="left" vertical="center"/>
    </xf>
    <xf numFmtId="0" fontId="0" fillId="2" borderId="24" xfId="0" applyFill="1" applyBorder="1" applyAlignment="1">
      <alignment horizontal="right" vertical="center"/>
    </xf>
    <xf numFmtId="0" fontId="0" fillId="2" borderId="16" xfId="0" applyFill="1" applyBorder="1" applyAlignment="1">
      <alignment horizontal="right" vertical="center"/>
    </xf>
    <xf numFmtId="164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164" fontId="0" fillId="2" borderId="0" xfId="1" applyNumberFormat="1" applyFont="1" applyFill="1" applyBorder="1" applyAlignment="1">
      <alignment horizontal="left" vertical="center"/>
    </xf>
    <xf numFmtId="164" fontId="12" fillId="2" borderId="0" xfId="1" applyNumberFormat="1" applyFont="1" applyFill="1" applyAlignment="1">
      <alignment horizontal="right"/>
    </xf>
    <xf numFmtId="164" fontId="5" fillId="2" borderId="0" xfId="1" applyNumberFormat="1" applyFont="1" applyFill="1" applyAlignment="1">
      <alignment horizontal="right"/>
    </xf>
    <xf numFmtId="0" fontId="3" fillId="2" borderId="21" xfId="0" applyFont="1" applyFill="1" applyBorder="1"/>
    <xf numFmtId="0" fontId="3" fillId="2" borderId="35" xfId="0" applyFont="1" applyFill="1" applyBorder="1"/>
    <xf numFmtId="0" fontId="3" fillId="2" borderId="35" xfId="0" applyFont="1" applyFill="1" applyBorder="1" applyAlignment="1">
      <alignment horizontal="left"/>
    </xf>
    <xf numFmtId="0" fontId="3" fillId="2" borderId="3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9" fillId="2" borderId="10" xfId="0" applyFont="1" applyFill="1" applyBorder="1" applyAlignment="1">
      <alignment vertical="center"/>
    </xf>
    <xf numFmtId="0" fontId="12" fillId="2" borderId="30" xfId="0" applyFont="1" applyFill="1" applyBorder="1" applyAlignment="1">
      <alignment vertical="center"/>
    </xf>
    <xf numFmtId="0" fontId="12" fillId="2" borderId="33" xfId="0" applyFont="1" applyFill="1" applyBorder="1" applyAlignment="1">
      <alignment horizontal="right" vertical="center"/>
    </xf>
    <xf numFmtId="164" fontId="12" fillId="2" borderId="33" xfId="0" applyNumberFormat="1" applyFont="1" applyFill="1" applyBorder="1" applyAlignment="1">
      <alignment horizontal="right" vertical="center"/>
    </xf>
    <xf numFmtId="164" fontId="12" fillId="2" borderId="6" xfId="0" applyNumberFormat="1" applyFont="1" applyFill="1" applyBorder="1" applyAlignment="1">
      <alignment horizontal="right" vertical="center"/>
    </xf>
    <xf numFmtId="0" fontId="9" fillId="2" borderId="10" xfId="0" quotePrefix="1" applyFont="1" applyFill="1" applyBorder="1" applyAlignment="1">
      <alignment vertical="center"/>
    </xf>
    <xf numFmtId="164" fontId="5" fillId="2" borderId="33" xfId="0" applyNumberFormat="1" applyFont="1" applyFill="1" applyBorder="1" applyAlignment="1">
      <alignment horizontal="center" vertical="center"/>
    </xf>
    <xf numFmtId="164" fontId="5" fillId="2" borderId="33" xfId="0" applyNumberFormat="1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0" fontId="9" fillId="2" borderId="20" xfId="0" quotePrefix="1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0" fontId="12" fillId="2" borderId="26" xfId="0" applyFont="1" applyFill="1" applyBorder="1" applyAlignment="1">
      <alignment horizontal="right" vertical="center"/>
    </xf>
    <xf numFmtId="164" fontId="5" fillId="2" borderId="26" xfId="0" applyNumberFormat="1" applyFont="1" applyFill="1" applyBorder="1" applyAlignment="1">
      <alignment horizontal="right" vertical="center"/>
    </xf>
    <xf numFmtId="164" fontId="5" fillId="2" borderId="36" xfId="0" applyNumberFormat="1" applyFont="1" applyFill="1" applyBorder="1" applyAlignment="1">
      <alignment horizontal="right" vertical="center"/>
    </xf>
    <xf numFmtId="164" fontId="12" fillId="2" borderId="33" xfId="1" applyNumberFormat="1" applyFont="1" applyFill="1" applyBorder="1" applyAlignment="1">
      <alignment horizontal="right" vertical="center"/>
    </xf>
    <xf numFmtId="164" fontId="5" fillId="2" borderId="33" xfId="1" applyNumberFormat="1" applyFont="1" applyFill="1" applyBorder="1" applyAlignment="1">
      <alignment horizontal="right" vertical="center"/>
    </xf>
    <xf numFmtId="164" fontId="12" fillId="2" borderId="6" xfId="1" applyNumberFormat="1" applyFont="1" applyFill="1" applyBorder="1" applyAlignment="1">
      <alignment horizontal="right" vertical="center"/>
    </xf>
    <xf numFmtId="164" fontId="5" fillId="2" borderId="26" xfId="1" applyNumberFormat="1" applyFont="1" applyFill="1" applyBorder="1" applyAlignment="1">
      <alignment horizontal="right" vertical="center"/>
    </xf>
    <xf numFmtId="164" fontId="5" fillId="2" borderId="36" xfId="1" applyNumberFormat="1" applyFont="1" applyFill="1" applyBorder="1" applyAlignment="1">
      <alignment horizontal="right" vertical="center"/>
    </xf>
    <xf numFmtId="0" fontId="9" fillId="2" borderId="37" xfId="0" applyFont="1" applyFill="1" applyBorder="1" applyAlignment="1">
      <alignment vertical="center" wrapText="1"/>
    </xf>
    <xf numFmtId="0" fontId="12" fillId="2" borderId="38" xfId="0" applyFont="1" applyFill="1" applyBorder="1" applyAlignment="1">
      <alignment vertical="center"/>
    </xf>
    <xf numFmtId="164" fontId="12" fillId="2" borderId="39" xfId="1" applyNumberFormat="1" applyFont="1" applyFill="1" applyBorder="1" applyAlignment="1">
      <alignment horizontal="right" vertical="center"/>
    </xf>
    <xf numFmtId="164" fontId="5" fillId="2" borderId="39" xfId="1" applyNumberFormat="1" applyFont="1" applyFill="1" applyBorder="1" applyAlignment="1">
      <alignment horizontal="right" vertical="center"/>
    </xf>
    <xf numFmtId="164" fontId="12" fillId="2" borderId="40" xfId="1" applyNumberFormat="1" applyFont="1" applyFill="1" applyBorder="1" applyAlignment="1">
      <alignment horizontal="right" vertical="center"/>
    </xf>
    <xf numFmtId="0" fontId="9" fillId="2" borderId="20" xfId="0" applyFont="1" applyFill="1" applyBorder="1" applyAlignment="1">
      <alignment vertical="center"/>
    </xf>
    <xf numFmtId="164" fontId="12" fillId="2" borderId="36" xfId="1" applyNumberFormat="1" applyFont="1" applyFill="1" applyBorder="1" applyAlignment="1">
      <alignment horizontal="right" vertical="center"/>
    </xf>
    <xf numFmtId="0" fontId="9" fillId="2" borderId="11" xfId="0" applyFont="1" applyFill="1" applyBorder="1" applyAlignment="1">
      <alignment vertical="center"/>
    </xf>
    <xf numFmtId="0" fontId="12" fillId="2" borderId="31" xfId="0" applyFont="1" applyFill="1" applyBorder="1" applyAlignment="1">
      <alignment vertical="center"/>
    </xf>
    <xf numFmtId="164" fontId="12" fillId="2" borderId="34" xfId="1" applyNumberFormat="1" applyFont="1" applyFill="1" applyBorder="1" applyAlignment="1">
      <alignment horizontal="right" vertical="center"/>
    </xf>
    <xf numFmtId="164" fontId="12" fillId="2" borderId="43" xfId="1" applyNumberFormat="1" applyFont="1" applyFill="1" applyBorder="1" applyAlignment="1">
      <alignment horizontal="right" vertical="center"/>
    </xf>
    <xf numFmtId="164" fontId="12" fillId="2" borderId="44" xfId="1" applyNumberFormat="1" applyFont="1" applyFill="1" applyBorder="1" applyAlignment="1">
      <alignment horizontal="right" vertical="center"/>
    </xf>
    <xf numFmtId="164" fontId="12" fillId="2" borderId="28" xfId="1" applyNumberFormat="1" applyFont="1" applyFill="1" applyBorder="1" applyAlignment="1">
      <alignment horizontal="right" vertical="center"/>
    </xf>
    <xf numFmtId="164" fontId="12" fillId="2" borderId="42" xfId="1" applyNumberFormat="1" applyFont="1" applyFill="1" applyBorder="1" applyAlignment="1">
      <alignment horizontal="right" vertical="center"/>
    </xf>
    <xf numFmtId="0" fontId="3" fillId="2" borderId="10" xfId="0" applyFont="1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3" xfId="0" applyFill="1" applyBorder="1" applyAlignment="1">
      <alignment horizontal="right" vertical="center"/>
    </xf>
    <xf numFmtId="164" fontId="0" fillId="2" borderId="6" xfId="0" applyNumberFormat="1" applyFill="1" applyBorder="1" applyAlignment="1">
      <alignment horizontal="right" vertical="center"/>
    </xf>
    <xf numFmtId="165" fontId="0" fillId="2" borderId="0" xfId="0" applyNumberFormat="1" applyFill="1" applyAlignment="1">
      <alignment horizontal="right"/>
    </xf>
    <xf numFmtId="166" fontId="0" fillId="2" borderId="0" xfId="0" applyNumberFormat="1" applyFill="1" applyAlignment="1">
      <alignment horizontal="right"/>
    </xf>
    <xf numFmtId="164" fontId="0" fillId="2" borderId="26" xfId="1" applyNumberFormat="1" applyFont="1" applyFill="1" applyBorder="1" applyAlignment="1">
      <alignment horizontal="right" vertical="center"/>
    </xf>
    <xf numFmtId="164" fontId="0" fillId="2" borderId="36" xfId="1" applyNumberFormat="1" applyFont="1" applyFill="1" applyBorder="1" applyAlignment="1">
      <alignment horizontal="right" vertical="center"/>
    </xf>
    <xf numFmtId="9" fontId="3" fillId="2" borderId="30" xfId="2" applyFont="1" applyFill="1" applyBorder="1" applyAlignment="1">
      <alignment vertical="center"/>
    </xf>
    <xf numFmtId="0" fontId="0" fillId="2" borderId="6" xfId="0" applyFill="1" applyBorder="1" applyAlignment="1">
      <alignment horizontal="right" vertical="center"/>
    </xf>
    <xf numFmtId="165" fontId="0" fillId="2" borderId="33" xfId="0" applyNumberFormat="1" applyFill="1" applyBorder="1" applyAlignment="1">
      <alignment horizontal="right" vertical="center"/>
    </xf>
    <xf numFmtId="166" fontId="3" fillId="2" borderId="30" xfId="2" applyNumberFormat="1" applyFont="1" applyFill="1" applyBorder="1" applyAlignment="1">
      <alignment vertical="center"/>
    </xf>
    <xf numFmtId="166" fontId="5" fillId="2" borderId="26" xfId="0" applyNumberFormat="1" applyFont="1" applyFill="1" applyBorder="1" applyAlignment="1">
      <alignment horizontal="right" vertical="center"/>
    </xf>
    <xf numFmtId="166" fontId="12" fillId="2" borderId="26" xfId="0" applyNumberFormat="1" applyFont="1" applyFill="1" applyBorder="1" applyAlignment="1">
      <alignment horizontal="right" vertical="center"/>
    </xf>
    <xf numFmtId="166" fontId="0" fillId="2" borderId="26" xfId="0" applyNumberFormat="1" applyFill="1" applyBorder="1" applyAlignment="1">
      <alignment horizontal="right" vertical="center"/>
    </xf>
    <xf numFmtId="166" fontId="0" fillId="2" borderId="36" xfId="0" applyNumberFormat="1" applyFill="1" applyBorder="1" applyAlignment="1">
      <alignment horizontal="right" vertical="center"/>
    </xf>
    <xf numFmtId="10" fontId="3" fillId="2" borderId="5" xfId="2" applyNumberFormat="1" applyFont="1" applyFill="1" applyBorder="1" applyAlignment="1">
      <alignment vertical="center"/>
    </xf>
    <xf numFmtId="166" fontId="5" fillId="2" borderId="55" xfId="0" applyNumberFormat="1" applyFont="1" applyFill="1" applyBorder="1" applyAlignment="1">
      <alignment horizontal="right" vertical="center"/>
    </xf>
    <xf numFmtId="166" fontId="12" fillId="2" borderId="33" xfId="0" applyNumberFormat="1" applyFont="1" applyFill="1" applyBorder="1" applyAlignment="1">
      <alignment horizontal="right" vertical="center"/>
    </xf>
    <xf numFmtId="166" fontId="0" fillId="2" borderId="33" xfId="0" applyNumberFormat="1" applyFill="1" applyBorder="1" applyAlignment="1">
      <alignment horizontal="right" vertical="center"/>
    </xf>
    <xf numFmtId="166" fontId="0" fillId="2" borderId="6" xfId="0" applyNumberFormat="1" applyFill="1" applyBorder="1" applyAlignment="1">
      <alignment horizontal="right" vertical="center"/>
    </xf>
    <xf numFmtId="0" fontId="3" fillId="2" borderId="11" xfId="0" applyFont="1" applyFill="1" applyBorder="1" applyAlignment="1">
      <alignment vertical="center"/>
    </xf>
    <xf numFmtId="6" fontId="9" fillId="3" borderId="2" xfId="0" applyNumberFormat="1" applyFont="1" applyFill="1" applyBorder="1" applyAlignment="1">
      <alignment vertical="center"/>
    </xf>
    <xf numFmtId="0" fontId="0" fillId="2" borderId="41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6" fontId="9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169" fontId="0" fillId="2" borderId="7" xfId="0" applyNumberFormat="1" applyFill="1" applyBorder="1" applyAlignment="1">
      <alignment horizontal="center" vertical="center"/>
    </xf>
    <xf numFmtId="169" fontId="0" fillId="2" borderId="23" xfId="0" applyNumberFormat="1" applyFill="1" applyBorder="1" applyAlignment="1">
      <alignment horizontal="center" vertical="center"/>
    </xf>
    <xf numFmtId="169" fontId="0" fillId="2" borderId="8" xfId="0" applyNumberFormat="1" applyFill="1" applyBorder="1" applyAlignment="1">
      <alignment horizontal="center" vertical="center"/>
    </xf>
    <xf numFmtId="10" fontId="0" fillId="2" borderId="0" xfId="0" applyNumberFormat="1" applyFill="1"/>
    <xf numFmtId="6" fontId="0" fillId="2" borderId="0" xfId="0" applyNumberFormat="1" applyFill="1" applyAlignment="1">
      <alignment horizontal="center"/>
    </xf>
    <xf numFmtId="10" fontId="3" fillId="2" borderId="5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0" fontId="3" fillId="2" borderId="6" xfId="0" applyNumberFormat="1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 vertical="center"/>
    </xf>
    <xf numFmtId="10" fontId="3" fillId="2" borderId="22" xfId="0" applyNumberFormat="1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164" fontId="5" fillId="2" borderId="32" xfId="0" applyNumberFormat="1" applyFont="1" applyFill="1" applyBorder="1" applyAlignment="1">
      <alignment horizontal="center" vertical="center"/>
    </xf>
    <xf numFmtId="164" fontId="5" fillId="2" borderId="26" xfId="0" applyNumberFormat="1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6" fontId="3" fillId="10" borderId="1" xfId="0" applyNumberFormat="1" applyFont="1" applyFill="1" applyBorder="1"/>
    <xf numFmtId="3" fontId="12" fillId="0" borderId="1" xfId="0" applyNumberFormat="1" applyFont="1" applyBorder="1" applyAlignment="1">
      <alignment horizontal="center" vertical="center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99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Sensitivity Analysis  - Variable Impact on NPV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E7-42B3-9236-1166A0970B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E7-42B3-9236-1166A0970B44}"/>
              </c:ext>
            </c:extLst>
          </c:dPt>
          <c:dPt>
            <c:idx val="2"/>
            <c:invertIfNegative val="0"/>
            <c:bubble3D val="0"/>
            <c:spPr>
              <a:solidFill>
                <a:srgbClr val="0099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E7-42B3-9236-1166A0970B44}"/>
              </c:ext>
            </c:extLst>
          </c:dPt>
          <c:dLbls>
            <c:dLbl>
              <c:idx val="2"/>
              <c:layout>
                <c:manualLayout>
                  <c:x val="-1.017545999521144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E7-42B3-9236-1166A0970B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Sensitivity!$BO$5:$BO$7</c:f>
              <c:strCache>
                <c:ptCount val="3"/>
                <c:pt idx="0">
                  <c:v>Market Share (±1%)</c:v>
                </c:pt>
                <c:pt idx="1">
                  <c:v>Variable Cost (±5%)</c:v>
                </c:pt>
                <c:pt idx="2">
                  <c:v>WACC (±1%)</c:v>
                </c:pt>
              </c:strCache>
            </c:strRef>
          </c:cat>
          <c:val>
            <c:numRef>
              <c:f>Sensitivity!$BP$5:$BP$7</c:f>
              <c:numCache>
                <c:formatCode>_-"$"* #,##0_-;\-"$"* #,##0_-;_-"$"* "-"??_-;_-@_-</c:formatCode>
                <c:ptCount val="3"/>
                <c:pt idx="0">
                  <c:v>18757064</c:v>
                </c:pt>
                <c:pt idx="1">
                  <c:v>11773539</c:v>
                </c:pt>
                <c:pt idx="2">
                  <c:v>878424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7-42B3-9236-1166A0970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2783583"/>
        <c:axId val="1312782623"/>
      </c:barChart>
      <c:catAx>
        <c:axId val="1312783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82623"/>
        <c:crosses val="autoZero"/>
        <c:auto val="1"/>
        <c:lblAlgn val="ctr"/>
        <c:lblOffset val="100"/>
        <c:noMultiLvlLbl val="0"/>
      </c:catAx>
      <c:valAx>
        <c:axId val="1312782623"/>
        <c:scaling>
          <c:orientation val="minMax"/>
        </c:scaling>
        <c:delete val="1"/>
        <c:axPos val="t"/>
        <c:numFmt formatCode="_-&quot;$&quot;* #,##0_-;\-&quot;$&quot;* #,##0_-;_-&quot;$&quot;* &quot;-&quot;??_-;_-@_-" sourceLinked="1"/>
        <c:majorTickMark val="none"/>
        <c:minorTickMark val="none"/>
        <c:tickLblPos val="nextTo"/>
        <c:crossAx val="1312783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335280</xdr:colOff>
      <xdr:row>3</xdr:row>
      <xdr:rowOff>15240</xdr:rowOff>
    </xdr:from>
    <xdr:to>
      <xdr:col>12</xdr:col>
      <xdr:colOff>38100</xdr:colOff>
      <xdr:row>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0EC836-C007-CA89-465F-ECD81E185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254ED-3E16-4277-81FA-02BF63C746AB}">
  <dimension ref="A1:I28"/>
  <sheetViews>
    <sheetView topLeftCell="A10" workbookViewId="0"/>
  </sheetViews>
  <sheetFormatPr defaultRowHeight="14.4"/>
  <cols>
    <col min="1" max="1" width="17.44140625" bestFit="1" customWidth="1"/>
    <col min="2" max="2" width="12" bestFit="1" customWidth="1"/>
    <col min="6" max="6" width="12.44140625" bestFit="1" customWidth="1"/>
  </cols>
  <sheetData>
    <row r="1" spans="1:9">
      <c r="A1" t="s">
        <v>57</v>
      </c>
    </row>
    <row r="2" spans="1:9" ht="15" thickBot="1"/>
    <row r="3" spans="1:9">
      <c r="A3" s="3" t="s">
        <v>58</v>
      </c>
      <c r="B3" s="3"/>
    </row>
    <row r="4" spans="1:9">
      <c r="A4" t="s">
        <v>59</v>
      </c>
      <c r="B4">
        <v>0.36021764812336737</v>
      </c>
    </row>
    <row r="5" spans="1:9">
      <c r="A5" t="s">
        <v>60</v>
      </c>
      <c r="B5">
        <v>0.12975675401953013</v>
      </c>
    </row>
    <row r="6" spans="1:9">
      <c r="A6" t="s">
        <v>61</v>
      </c>
      <c r="B6">
        <v>0.11475256012331514</v>
      </c>
    </row>
    <row r="7" spans="1:9">
      <c r="A7" t="s">
        <v>62</v>
      </c>
      <c r="B7">
        <v>8.2459797589941708E-2</v>
      </c>
    </row>
    <row r="8" spans="1:9" ht="15" thickBot="1">
      <c r="A8" s="1" t="s">
        <v>63</v>
      </c>
      <c r="B8" s="1">
        <v>60</v>
      </c>
    </row>
    <row r="10" spans="1:9" ht="15" thickBot="1">
      <c r="A10" t="s">
        <v>64</v>
      </c>
    </row>
    <row r="11" spans="1:9">
      <c r="A11" s="2"/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</row>
    <row r="12" spans="1:9">
      <c r="A12" t="s">
        <v>65</v>
      </c>
      <c r="B12">
        <v>1</v>
      </c>
      <c r="C12">
        <v>5.8803318240029767E-2</v>
      </c>
      <c r="D12">
        <v>5.8803318240029767E-2</v>
      </c>
      <c r="E12">
        <v>8.648032337962718</v>
      </c>
      <c r="F12">
        <v>4.6968889560059434E-3</v>
      </c>
    </row>
    <row r="13" spans="1:9">
      <c r="A13" t="s">
        <v>66</v>
      </c>
      <c r="B13">
        <v>58</v>
      </c>
      <c r="C13">
        <v>0.39437785667730113</v>
      </c>
      <c r="D13">
        <v>6.7996182185741574E-3</v>
      </c>
    </row>
    <row r="14" spans="1:9" ht="15" thickBot="1">
      <c r="A14" s="1" t="s">
        <v>67</v>
      </c>
      <c r="B14" s="1">
        <v>59</v>
      </c>
      <c r="C14" s="1">
        <v>0.4531811749173309</v>
      </c>
      <c r="D14" s="1"/>
      <c r="E14" s="1"/>
      <c r="F14" s="1"/>
    </row>
    <row r="15" spans="1:9" ht="15" thickBot="1"/>
    <row r="16" spans="1:9">
      <c r="A16" s="2"/>
      <c r="B16" s="2" t="s">
        <v>74</v>
      </c>
      <c r="C16" s="2" t="s">
        <v>62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79</v>
      </c>
      <c r="I16" s="2" t="s">
        <v>80</v>
      </c>
    </row>
    <row r="17" spans="1:9">
      <c r="A17" t="s">
        <v>68</v>
      </c>
      <c r="B17">
        <v>2.4186848449768983E-2</v>
      </c>
      <c r="C17">
        <v>1.0677901039110324E-2</v>
      </c>
      <c r="D17">
        <v>2.2651313550461802</v>
      </c>
      <c r="E17">
        <v>2.7255820197900519E-2</v>
      </c>
      <c r="F17">
        <v>2.8127072458092699E-3</v>
      </c>
      <c r="G17">
        <v>4.5560989653728692E-2</v>
      </c>
      <c r="H17">
        <v>2.8127072458092699E-3</v>
      </c>
      <c r="I17">
        <v>4.5560989653728692E-2</v>
      </c>
    </row>
    <row r="18" spans="1:9" ht="15" thickBot="1">
      <c r="A18" s="1" t="s">
        <v>81</v>
      </c>
      <c r="B18" s="1">
        <v>0.65892380835686049</v>
      </c>
      <c r="C18" s="1">
        <v>0.22406630239973915</v>
      </c>
      <c r="D18" s="1">
        <v>2.9407537023631787</v>
      </c>
      <c r="E18" s="1">
        <v>4.6968889560058845E-3</v>
      </c>
      <c r="F18" s="1">
        <v>0.21040637323552913</v>
      </c>
      <c r="G18" s="1">
        <v>1.107441243478192</v>
      </c>
      <c r="H18" s="1">
        <v>0.21040637323552913</v>
      </c>
      <c r="I18" s="1">
        <v>1.107441243478192</v>
      </c>
    </row>
    <row r="22" spans="1:9">
      <c r="C22" t="s">
        <v>150</v>
      </c>
    </row>
    <row r="23" spans="1:9">
      <c r="C23" t="s">
        <v>151</v>
      </c>
    </row>
    <row r="25" spans="1:9" ht="18">
      <c r="C25" s="47" t="s">
        <v>152</v>
      </c>
    </row>
    <row r="26" spans="1:9">
      <c r="C26" s="48" t="s">
        <v>153</v>
      </c>
    </row>
    <row r="27" spans="1:9">
      <c r="C27" s="48" t="s">
        <v>154</v>
      </c>
    </row>
    <row r="28" spans="1:9">
      <c r="C2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03A2-BAF7-4C86-BA75-C08FD13A2665}">
  <dimension ref="A1:Q64"/>
  <sheetViews>
    <sheetView zoomScale="80" zoomScaleNormal="80" workbookViewId="0">
      <selection activeCell="A2" sqref="A2"/>
    </sheetView>
  </sheetViews>
  <sheetFormatPr defaultColWidth="8.88671875" defaultRowHeight="14.4"/>
  <cols>
    <col min="1" max="1" width="13" style="66" bestFit="1" customWidth="1"/>
    <col min="2" max="2" width="16" style="66" customWidth="1"/>
    <col min="3" max="3" width="16.88671875" style="66" customWidth="1"/>
    <col min="4" max="4" width="16" style="66" customWidth="1"/>
    <col min="5" max="5" width="15.88671875" style="66" customWidth="1"/>
    <col min="6" max="6" width="8.88671875" style="66"/>
    <col min="7" max="7" width="20.44140625" style="66" customWidth="1"/>
    <col min="8" max="8" width="8.88671875" style="66"/>
    <col min="9" max="9" width="24.88671875" style="66" bestFit="1" customWidth="1"/>
    <col min="10" max="16384" width="8.88671875" style="66"/>
  </cols>
  <sheetData>
    <row r="1" spans="1:17" s="57" customFormat="1" ht="15" thickBot="1">
      <c r="A1" s="53" t="s">
        <v>19</v>
      </c>
      <c r="B1" s="54" t="s">
        <v>24</v>
      </c>
      <c r="C1" s="54" t="s">
        <v>25</v>
      </c>
      <c r="D1" s="55" t="s">
        <v>49</v>
      </c>
      <c r="E1" s="56" t="s">
        <v>50</v>
      </c>
    </row>
    <row r="2" spans="1:17" s="57" customFormat="1">
      <c r="A2" s="58">
        <v>43252</v>
      </c>
      <c r="B2" s="59">
        <v>3.957655668258667</v>
      </c>
      <c r="C2" s="59">
        <v>6194.60009765625</v>
      </c>
      <c r="D2" s="60"/>
      <c r="E2" s="61"/>
    </row>
    <row r="3" spans="1:17">
      <c r="A3" s="62">
        <v>43282</v>
      </c>
      <c r="B3" s="63">
        <v>4.6001925468444824</v>
      </c>
      <c r="C3" s="63">
        <v>6280.2001953125</v>
      </c>
      <c r="D3" s="64">
        <f>(B3-B2)/B2</f>
        <v>0.16235290092038904</v>
      </c>
      <c r="E3" s="65">
        <f>(C3-C2)/C2</f>
        <v>1.3818502616276571E-2</v>
      </c>
    </row>
    <row r="4" spans="1:17" ht="15" thickBot="1">
      <c r="A4" s="62">
        <v>43313</v>
      </c>
      <c r="B4" s="63">
        <v>5.1496076583862296</v>
      </c>
      <c r="C4" s="63">
        <v>6319.5</v>
      </c>
      <c r="D4" s="64">
        <f t="shared" ref="D4:D62" si="0">(B4-B3)/B3</f>
        <v>0.11943306849593074</v>
      </c>
      <c r="E4" s="65">
        <f t="shared" ref="E4:E62" si="1">(C4-C3)/C3</f>
        <v>6.2577311973005438E-3</v>
      </c>
    </row>
    <row r="5" spans="1:17">
      <c r="A5" s="62">
        <v>43344</v>
      </c>
      <c r="B5" s="63">
        <v>5.1961688995361328</v>
      </c>
      <c r="C5" s="63">
        <v>6207.60009765625</v>
      </c>
      <c r="D5" s="64">
        <f t="shared" si="0"/>
        <v>9.0417065218701478E-3</v>
      </c>
      <c r="E5" s="65">
        <f t="shared" si="1"/>
        <v>-1.7707081627304375E-2</v>
      </c>
      <c r="G5" s="67" t="s">
        <v>51</v>
      </c>
      <c r="H5" s="68">
        <f>_xlfn.COVARIANCE.S(D3:D62, E3:E62)</f>
        <v>1.5125670042691643E-3</v>
      </c>
    </row>
    <row r="6" spans="1:17" ht="15" thickBot="1">
      <c r="A6" s="62">
        <v>43374</v>
      </c>
      <c r="B6" s="63">
        <v>5.065798282623291</v>
      </c>
      <c r="C6" s="63">
        <v>5830.2998046875</v>
      </c>
      <c r="D6" s="64">
        <f t="shared" si="0"/>
        <v>-2.508975736421503E-2</v>
      </c>
      <c r="E6" s="65">
        <f t="shared" si="1"/>
        <v>-6.0780380023385205E-2</v>
      </c>
      <c r="G6" s="69" t="s">
        <v>52</v>
      </c>
      <c r="H6" s="70">
        <f>_xlfn.VAR.S(E3:E62)</f>
        <v>2.2955112337510008E-3</v>
      </c>
    </row>
    <row r="7" spans="1:17" ht="15" thickBot="1">
      <c r="A7" s="62">
        <v>43405</v>
      </c>
      <c r="B7" s="63">
        <v>5.8014578819274902</v>
      </c>
      <c r="C7" s="63">
        <v>5667.2001953125</v>
      </c>
      <c r="D7" s="64">
        <f t="shared" si="0"/>
        <v>0.14522086318116137</v>
      </c>
      <c r="E7" s="65">
        <f t="shared" si="1"/>
        <v>-2.7974480702325055E-2</v>
      </c>
    </row>
    <row r="8" spans="1:17" ht="15" thickBot="1">
      <c r="A8" s="62">
        <v>43435</v>
      </c>
      <c r="B8" s="63">
        <v>5.794309139251709</v>
      </c>
      <c r="C8" s="63">
        <v>5646.39990234375</v>
      </c>
      <c r="D8" s="64">
        <f t="shared" si="0"/>
        <v>-1.2322321080793807E-3</v>
      </c>
      <c r="E8" s="65">
        <f t="shared" si="1"/>
        <v>-3.6702943696879644E-3</v>
      </c>
      <c r="G8" s="71" t="s">
        <v>149</v>
      </c>
      <c r="H8" s="72">
        <f>H5/H6</f>
        <v>0.65892380835686026</v>
      </c>
      <c r="I8" s="66" t="s">
        <v>148</v>
      </c>
    </row>
    <row r="9" spans="1:17">
      <c r="A9" s="62">
        <v>43466</v>
      </c>
      <c r="B9" s="63">
        <v>6.5562238693237296</v>
      </c>
      <c r="C9" s="63">
        <v>5864.7001953125</v>
      </c>
      <c r="D9" s="64">
        <f t="shared" si="0"/>
        <v>0.1314936279306658</v>
      </c>
      <c r="E9" s="65">
        <f t="shared" si="1"/>
        <v>3.8661854764862877E-2</v>
      </c>
    </row>
    <row r="10" spans="1:17">
      <c r="A10" s="62">
        <v>43497</v>
      </c>
      <c r="B10" s="63">
        <v>6.9418845176696777</v>
      </c>
      <c r="C10" s="63">
        <v>6169</v>
      </c>
      <c r="D10" s="64">
        <f t="shared" si="0"/>
        <v>5.8823593585697498E-2</v>
      </c>
      <c r="E10" s="65">
        <f t="shared" si="1"/>
        <v>5.1886676991727353E-2</v>
      </c>
    </row>
    <row r="11" spans="1:17" ht="15" thickBot="1">
      <c r="A11" s="62">
        <v>43525</v>
      </c>
      <c r="B11" s="63">
        <v>7.5250778198242188</v>
      </c>
      <c r="C11" s="63">
        <v>6180.7001953125</v>
      </c>
      <c r="D11" s="64">
        <f t="shared" si="0"/>
        <v>8.4010804367329536E-2</v>
      </c>
      <c r="E11" s="65">
        <f t="shared" si="1"/>
        <v>1.8966113328740476E-3</v>
      </c>
    </row>
    <row r="12" spans="1:17">
      <c r="A12" s="62">
        <v>43556</v>
      </c>
      <c r="B12" s="63">
        <v>8.2681789398193359</v>
      </c>
      <c r="C12" s="63">
        <v>6325.5</v>
      </c>
      <c r="D12" s="64">
        <f t="shared" si="0"/>
        <v>9.8749958178170116E-2</v>
      </c>
      <c r="E12" s="65">
        <f t="shared" si="1"/>
        <v>2.3427734740688037E-2</v>
      </c>
      <c r="G12" s="67"/>
      <c r="H12" s="73"/>
      <c r="I12" s="73"/>
      <c r="J12" s="73"/>
      <c r="K12" s="73"/>
      <c r="L12" s="73"/>
      <c r="M12" s="73"/>
      <c r="N12" s="73"/>
      <c r="O12" s="73"/>
      <c r="P12" s="73"/>
      <c r="Q12" s="68"/>
    </row>
    <row r="13" spans="1:17">
      <c r="A13" s="62">
        <v>43586</v>
      </c>
      <c r="B13" s="63">
        <v>6.7255377769470206</v>
      </c>
      <c r="C13" s="63">
        <v>6396.89990234375</v>
      </c>
      <c r="D13" s="64">
        <f t="shared" si="0"/>
        <v>-0.18657568662949411</v>
      </c>
      <c r="E13" s="65">
        <f t="shared" si="1"/>
        <v>1.1287629806932258E-2</v>
      </c>
      <c r="G13" s="74"/>
      <c r="H13" t="s">
        <v>57</v>
      </c>
      <c r="I13"/>
      <c r="J13"/>
      <c r="K13"/>
      <c r="L13"/>
      <c r="M13"/>
      <c r="N13"/>
      <c r="O13"/>
      <c r="P13"/>
      <c r="Q13" s="49"/>
    </row>
    <row r="14" spans="1:17" ht="15" thickBot="1">
      <c r="A14" s="62">
        <v>43617</v>
      </c>
      <c r="B14" s="63">
        <v>7.4434633255004883</v>
      </c>
      <c r="C14" s="63">
        <v>6618.7998046875</v>
      </c>
      <c r="D14" s="64">
        <f t="shared" si="0"/>
        <v>0.10674619225458601</v>
      </c>
      <c r="E14" s="65">
        <f t="shared" si="1"/>
        <v>3.468866259146066E-2</v>
      </c>
      <c r="G14" s="74"/>
      <c r="H14"/>
      <c r="I14"/>
      <c r="J14"/>
      <c r="K14"/>
      <c r="L14"/>
      <c r="M14"/>
      <c r="N14"/>
      <c r="O14"/>
      <c r="P14"/>
      <c r="Q14" s="49"/>
    </row>
    <row r="15" spans="1:17">
      <c r="A15" s="62">
        <v>43647</v>
      </c>
      <c r="B15" s="63">
        <v>7.2356510162353516</v>
      </c>
      <c r="C15" s="63">
        <v>6812.60009765625</v>
      </c>
      <c r="D15" s="64">
        <f t="shared" si="0"/>
        <v>-2.791876579188542E-2</v>
      </c>
      <c r="E15" s="65">
        <f t="shared" si="1"/>
        <v>2.9280277193381599E-2</v>
      </c>
      <c r="G15" s="74"/>
      <c r="H15" s="3" t="s">
        <v>58</v>
      </c>
      <c r="I15" s="3"/>
      <c r="J15"/>
      <c r="K15"/>
      <c r="L15"/>
      <c r="M15"/>
      <c r="N15"/>
      <c r="O15"/>
      <c r="P15"/>
      <c r="Q15" s="49"/>
    </row>
    <row r="16" spans="1:17">
      <c r="A16" s="62">
        <v>43678</v>
      </c>
      <c r="B16" s="63">
        <v>7.1600832939147949</v>
      </c>
      <c r="C16" s="63">
        <v>6604.2001953125</v>
      </c>
      <c r="D16" s="64">
        <f t="shared" si="0"/>
        <v>-1.0443804178918775E-2</v>
      </c>
      <c r="E16" s="65">
        <f t="shared" si="1"/>
        <v>-3.0590361881867419E-2</v>
      </c>
      <c r="G16" s="74"/>
      <c r="H16" t="s">
        <v>59</v>
      </c>
      <c r="I16">
        <v>0.36021764812336737</v>
      </c>
      <c r="J16"/>
      <c r="K16"/>
      <c r="L16"/>
      <c r="M16"/>
      <c r="N16"/>
      <c r="O16"/>
      <c r="P16"/>
      <c r="Q16" s="49"/>
    </row>
    <row r="17" spans="1:17">
      <c r="A17" s="62">
        <v>43709</v>
      </c>
      <c r="B17" s="63">
        <v>6.7822422981262207</v>
      </c>
      <c r="C17" s="63">
        <v>6688.2998046875</v>
      </c>
      <c r="D17" s="64">
        <f t="shared" si="0"/>
        <v>-5.2770474906303586E-2</v>
      </c>
      <c r="E17" s="65">
        <f t="shared" si="1"/>
        <v>1.2734261059301602E-2</v>
      </c>
      <c r="G17" s="74"/>
      <c r="H17" t="s">
        <v>60</v>
      </c>
      <c r="I17">
        <v>0.12975675401953013</v>
      </c>
      <c r="J17"/>
      <c r="K17"/>
      <c r="L17"/>
      <c r="M17"/>
      <c r="N17"/>
      <c r="O17"/>
      <c r="P17"/>
      <c r="Q17" s="49"/>
    </row>
    <row r="18" spans="1:17">
      <c r="A18" s="62">
        <v>43739</v>
      </c>
      <c r="B18" s="63">
        <v>6.9617166519165039</v>
      </c>
      <c r="C18" s="63">
        <v>6663.39990234375</v>
      </c>
      <c r="D18" s="64">
        <f t="shared" si="0"/>
        <v>2.6462391920127639E-2</v>
      </c>
      <c r="E18" s="65">
        <f t="shared" si="1"/>
        <v>-3.7229046350911012E-3</v>
      </c>
      <c r="G18" s="74"/>
      <c r="H18" t="s">
        <v>61</v>
      </c>
      <c r="I18">
        <v>0.11475256012331514</v>
      </c>
      <c r="J18"/>
      <c r="K18"/>
      <c r="L18"/>
      <c r="M18"/>
      <c r="N18"/>
      <c r="O18"/>
      <c r="P18"/>
      <c r="Q18" s="49"/>
    </row>
    <row r="19" spans="1:17">
      <c r="A19" s="62">
        <v>43770</v>
      </c>
      <c r="B19" s="63">
        <v>8.6808919906616211</v>
      </c>
      <c r="C19" s="63">
        <v>6846</v>
      </c>
      <c r="D19" s="64">
        <f t="shared" si="0"/>
        <v>0.24694704261941516</v>
      </c>
      <c r="E19" s="65">
        <f t="shared" si="1"/>
        <v>2.7403442736796148E-2</v>
      </c>
      <c r="G19" s="74"/>
      <c r="H19" t="s">
        <v>62</v>
      </c>
      <c r="I19">
        <v>8.2459797589941708E-2</v>
      </c>
      <c r="J19"/>
      <c r="K19"/>
      <c r="L19"/>
      <c r="M19"/>
      <c r="N19"/>
      <c r="O19"/>
      <c r="P19"/>
      <c r="Q19" s="49"/>
    </row>
    <row r="20" spans="1:17" ht="15" thickBot="1">
      <c r="A20" s="62">
        <v>43800</v>
      </c>
      <c r="B20" s="63">
        <v>7.9066190719604492</v>
      </c>
      <c r="C20" s="63">
        <v>6684.10009765625</v>
      </c>
      <c r="D20" s="64">
        <f t="shared" si="0"/>
        <v>-8.9192783360752315E-2</v>
      </c>
      <c r="E20" s="65">
        <f t="shared" si="1"/>
        <v>-2.3648831776767455E-2</v>
      </c>
      <c r="G20" s="74"/>
      <c r="H20" s="1" t="s">
        <v>63</v>
      </c>
      <c r="I20" s="1">
        <v>60</v>
      </c>
      <c r="J20"/>
      <c r="K20"/>
      <c r="L20"/>
      <c r="M20"/>
      <c r="N20"/>
      <c r="O20"/>
      <c r="P20"/>
      <c r="Q20" s="49"/>
    </row>
    <row r="21" spans="1:17">
      <c r="A21" s="62">
        <v>43831</v>
      </c>
      <c r="B21" s="63">
        <v>8.1259841918945313</v>
      </c>
      <c r="C21" s="63">
        <v>7017.2001953125</v>
      </c>
      <c r="D21" s="64">
        <f t="shared" si="0"/>
        <v>2.7744490778874763E-2</v>
      </c>
      <c r="E21" s="65">
        <f t="shared" si="1"/>
        <v>4.9834696187905696E-2</v>
      </c>
      <c r="G21" s="74"/>
      <c r="H21"/>
      <c r="I21"/>
      <c r="J21"/>
      <c r="K21"/>
      <c r="L21"/>
      <c r="M21"/>
      <c r="N21"/>
      <c r="O21"/>
      <c r="P21"/>
      <c r="Q21" s="49"/>
    </row>
    <row r="22" spans="1:17" ht="15" thickBot="1">
      <c r="A22" s="62">
        <v>43862</v>
      </c>
      <c r="B22" s="63">
        <v>7.4774298667907706</v>
      </c>
      <c r="C22" s="63">
        <v>6441.2001953125</v>
      </c>
      <c r="D22" s="64">
        <f t="shared" si="0"/>
        <v>-7.9812403001063875E-2</v>
      </c>
      <c r="E22" s="65">
        <f t="shared" si="1"/>
        <v>-8.2084019832406777E-2</v>
      </c>
      <c r="G22" s="74"/>
      <c r="H22" t="s">
        <v>64</v>
      </c>
      <c r="I22"/>
      <c r="J22"/>
      <c r="K22"/>
      <c r="L22"/>
      <c r="M22"/>
      <c r="N22"/>
      <c r="O22"/>
      <c r="P22"/>
      <c r="Q22" s="49"/>
    </row>
    <row r="23" spans="1:17">
      <c r="A23" s="62">
        <v>43891</v>
      </c>
      <c r="B23" s="63">
        <v>7.6300315856933594</v>
      </c>
      <c r="C23" s="63">
        <v>5076.7998046875</v>
      </c>
      <c r="D23" s="64">
        <f t="shared" si="0"/>
        <v>2.0408311628616282E-2</v>
      </c>
      <c r="E23" s="65">
        <f t="shared" si="1"/>
        <v>-0.21182393797012003</v>
      </c>
      <c r="G23" s="74"/>
      <c r="H23" s="2"/>
      <c r="I23" s="2" t="s">
        <v>69</v>
      </c>
      <c r="J23" s="2" t="s">
        <v>70</v>
      </c>
      <c r="K23" s="2" t="s">
        <v>71</v>
      </c>
      <c r="L23" s="2" t="s">
        <v>72</v>
      </c>
      <c r="M23" s="2" t="s">
        <v>73</v>
      </c>
      <c r="N23"/>
      <c r="O23"/>
      <c r="P23"/>
      <c r="Q23" s="49"/>
    </row>
    <row r="24" spans="1:17">
      <c r="A24" s="62">
        <v>43922</v>
      </c>
      <c r="B24" s="63">
        <v>9.0606632232666016</v>
      </c>
      <c r="C24" s="63">
        <v>5522.39990234375</v>
      </c>
      <c r="D24" s="64">
        <f t="shared" si="0"/>
        <v>0.18750009374217252</v>
      </c>
      <c r="E24" s="65">
        <f t="shared" si="1"/>
        <v>8.7771847384019247E-2</v>
      </c>
      <c r="G24" s="74"/>
      <c r="H24" t="s">
        <v>65</v>
      </c>
      <c r="I24">
        <v>1</v>
      </c>
      <c r="J24">
        <v>5.8803318240029767E-2</v>
      </c>
      <c r="K24">
        <v>5.8803318240029767E-2</v>
      </c>
      <c r="L24">
        <v>8.648032337962718</v>
      </c>
      <c r="M24">
        <v>4.6968889560059434E-3</v>
      </c>
      <c r="N24"/>
      <c r="O24"/>
      <c r="P24"/>
      <c r="Q24" s="49"/>
    </row>
    <row r="25" spans="1:17">
      <c r="A25" s="62">
        <v>43952</v>
      </c>
      <c r="B25" s="63">
        <v>8.717310905456543</v>
      </c>
      <c r="C25" s="63">
        <v>5755.7001953125</v>
      </c>
      <c r="D25" s="64">
        <f t="shared" si="0"/>
        <v>-3.7894832789764729E-2</v>
      </c>
      <c r="E25" s="65">
        <f t="shared" si="1"/>
        <v>4.2246178671293891E-2</v>
      </c>
      <c r="G25" s="74"/>
      <c r="H25" t="s">
        <v>66</v>
      </c>
      <c r="I25">
        <v>58</v>
      </c>
      <c r="J25">
        <v>0.39437785667730113</v>
      </c>
      <c r="K25">
        <v>6.7996182185741574E-3</v>
      </c>
      <c r="L25"/>
      <c r="M25"/>
      <c r="N25"/>
      <c r="O25"/>
      <c r="P25"/>
      <c r="Q25" s="49"/>
    </row>
    <row r="26" spans="1:17" ht="15" thickBot="1">
      <c r="A26" s="62">
        <v>43983</v>
      </c>
      <c r="B26" s="63">
        <v>8.4159450531005859</v>
      </c>
      <c r="C26" s="63">
        <v>5897.89990234375</v>
      </c>
      <c r="D26" s="64">
        <f t="shared" si="0"/>
        <v>-3.4570965246555459E-2</v>
      </c>
      <c r="E26" s="65">
        <f t="shared" si="1"/>
        <v>2.470589193423571E-2</v>
      </c>
      <c r="G26" s="74"/>
      <c r="H26" s="1" t="s">
        <v>67</v>
      </c>
      <c r="I26" s="1">
        <v>59</v>
      </c>
      <c r="J26" s="1">
        <v>0.4531811749173309</v>
      </c>
      <c r="K26" s="1"/>
      <c r="L26" s="1"/>
      <c r="M26" s="1"/>
      <c r="N26"/>
      <c r="O26"/>
      <c r="P26"/>
      <c r="Q26" s="49"/>
    </row>
    <row r="27" spans="1:17" ht="15" thickBot="1">
      <c r="A27" s="62">
        <v>44013</v>
      </c>
      <c r="B27" s="63">
        <v>8.0521154403686523</v>
      </c>
      <c r="C27" s="63">
        <v>5927.7998046875</v>
      </c>
      <c r="D27" s="64">
        <f t="shared" si="0"/>
        <v>-4.3230987184011166E-2</v>
      </c>
      <c r="E27" s="65">
        <f t="shared" si="1"/>
        <v>5.0695845705804807E-3</v>
      </c>
      <c r="G27" s="74"/>
      <c r="H27"/>
      <c r="I27"/>
      <c r="J27"/>
      <c r="K27"/>
      <c r="L27"/>
      <c r="M27"/>
      <c r="N27"/>
      <c r="O27"/>
      <c r="P27"/>
      <c r="Q27" s="49"/>
    </row>
    <row r="28" spans="1:17">
      <c r="A28" s="62">
        <v>44044</v>
      </c>
      <c r="B28" s="63">
        <v>7.7361578941345206</v>
      </c>
      <c r="C28" s="63">
        <v>6060.5</v>
      </c>
      <c r="D28" s="64">
        <f t="shared" si="0"/>
        <v>-3.9239073082596811E-2</v>
      </c>
      <c r="E28" s="65">
        <f t="shared" si="1"/>
        <v>2.2386079099291654E-2</v>
      </c>
      <c r="G28" s="74"/>
      <c r="H28" s="2"/>
      <c r="I28" s="2" t="s">
        <v>74</v>
      </c>
      <c r="J28" s="2" t="s">
        <v>62</v>
      </c>
      <c r="K28" s="2" t="s">
        <v>75</v>
      </c>
      <c r="L28" s="2" t="s">
        <v>76</v>
      </c>
      <c r="M28" s="2" t="s">
        <v>77</v>
      </c>
      <c r="N28" s="2" t="s">
        <v>78</v>
      </c>
      <c r="O28" s="2" t="s">
        <v>79</v>
      </c>
      <c r="P28" s="2" t="s">
        <v>80</v>
      </c>
      <c r="Q28" s="49"/>
    </row>
    <row r="29" spans="1:17">
      <c r="A29" s="62">
        <v>44075</v>
      </c>
      <c r="B29" s="63">
        <v>7.6021156311035156</v>
      </c>
      <c r="C29" s="63">
        <v>5815.89990234375</v>
      </c>
      <c r="D29" s="64">
        <f t="shared" si="0"/>
        <v>-1.7326722756348407E-2</v>
      </c>
      <c r="E29" s="65">
        <f t="shared" si="1"/>
        <v>-4.03597224084234E-2</v>
      </c>
      <c r="G29" s="74"/>
      <c r="H29" t="s">
        <v>68</v>
      </c>
      <c r="I29">
        <v>2.4186848449768983E-2</v>
      </c>
      <c r="J29">
        <v>1.0677901039110324E-2</v>
      </c>
      <c r="K29">
        <v>2.2651313550461802</v>
      </c>
      <c r="L29">
        <v>2.7255820197900519E-2</v>
      </c>
      <c r="M29">
        <v>2.8127072458092699E-3</v>
      </c>
      <c r="N29">
        <v>4.5560989653728692E-2</v>
      </c>
      <c r="O29">
        <v>2.8127072458092699E-3</v>
      </c>
      <c r="P29">
        <v>4.5560989653728692E-2</v>
      </c>
      <c r="Q29" s="49"/>
    </row>
    <row r="30" spans="1:17" ht="15" thickBot="1">
      <c r="A30" s="62">
        <v>44105</v>
      </c>
      <c r="B30" s="63">
        <v>8.5882844924926758</v>
      </c>
      <c r="C30" s="63">
        <v>5927.60009765625</v>
      </c>
      <c r="D30" s="64">
        <f t="shared" si="0"/>
        <v>0.12972294940559972</v>
      </c>
      <c r="E30" s="65">
        <f t="shared" si="1"/>
        <v>1.9206003746296583E-2</v>
      </c>
      <c r="G30" s="74"/>
      <c r="H30" s="1" t="s">
        <v>81</v>
      </c>
      <c r="I30" s="1">
        <v>0.65892380835686049</v>
      </c>
      <c r="J30" s="1">
        <v>0.22406630239973915</v>
      </c>
      <c r="K30" s="1">
        <v>2.9407537023631787</v>
      </c>
      <c r="L30" s="1">
        <v>4.6968889560058845E-3</v>
      </c>
      <c r="M30" s="1">
        <v>0.21040637323552913</v>
      </c>
      <c r="N30" s="1">
        <v>1.107441243478192</v>
      </c>
      <c r="O30" s="1">
        <v>0.21040637323552913</v>
      </c>
      <c r="P30" s="1">
        <v>1.107441243478192</v>
      </c>
      <c r="Q30" s="49"/>
    </row>
    <row r="31" spans="1:17" ht="15" thickBot="1">
      <c r="A31" s="62">
        <v>44136</v>
      </c>
      <c r="B31" s="63">
        <v>8.7893486022949219</v>
      </c>
      <c r="C31" s="63">
        <v>6517.7998046875</v>
      </c>
      <c r="D31" s="64">
        <f t="shared" si="0"/>
        <v>2.3411440314768727E-2</v>
      </c>
      <c r="E31" s="65">
        <f t="shared" si="1"/>
        <v>9.9568070940651454E-2</v>
      </c>
      <c r="G31" s="50"/>
      <c r="H31" s="1"/>
      <c r="I31" s="1"/>
      <c r="J31" s="1"/>
      <c r="K31" s="1"/>
      <c r="L31" s="1"/>
      <c r="M31" s="1"/>
      <c r="N31" s="1"/>
      <c r="O31" s="1"/>
      <c r="P31" s="1"/>
      <c r="Q31" s="51"/>
    </row>
    <row r="32" spans="1:17">
      <c r="A32" s="62">
        <v>44166</v>
      </c>
      <c r="B32" s="63">
        <v>7.8510522842407227</v>
      </c>
      <c r="C32" s="63">
        <v>6587.10009765625</v>
      </c>
      <c r="D32" s="64">
        <f t="shared" si="0"/>
        <v>-0.10675379490684982</v>
      </c>
      <c r="E32" s="65">
        <f t="shared" si="1"/>
        <v>1.0632467250514553E-2</v>
      </c>
      <c r="G32"/>
      <c r="H32"/>
      <c r="I32"/>
      <c r="J32"/>
      <c r="K32"/>
      <c r="L32"/>
      <c r="M32"/>
      <c r="N32"/>
      <c r="O32"/>
      <c r="P32"/>
      <c r="Q32"/>
    </row>
    <row r="33" spans="1:17">
      <c r="A33" s="62">
        <v>44197</v>
      </c>
      <c r="B33" s="63">
        <v>8.348994255065918</v>
      </c>
      <c r="C33" s="63">
        <v>6607.39990234375</v>
      </c>
      <c r="D33" s="64">
        <f t="shared" si="0"/>
        <v>6.342359632793497E-2</v>
      </c>
      <c r="E33" s="65">
        <f t="shared" si="1"/>
        <v>3.0817513604693594E-3</v>
      </c>
      <c r="G33"/>
      <c r="H33"/>
      <c r="I33"/>
      <c r="J33"/>
      <c r="K33"/>
      <c r="L33"/>
      <c r="M33"/>
      <c r="N33"/>
      <c r="O33"/>
      <c r="P33"/>
      <c r="Q33"/>
    </row>
    <row r="34" spans="1:17">
      <c r="A34" s="62">
        <v>44228</v>
      </c>
      <c r="B34" s="63">
        <v>8.1845283508300781</v>
      </c>
      <c r="C34" s="63">
        <v>6673.2998046875</v>
      </c>
      <c r="D34" s="64">
        <f t="shared" si="0"/>
        <v>-1.9698888178782358E-2</v>
      </c>
      <c r="E34" s="65">
        <f t="shared" si="1"/>
        <v>9.973651257338647E-3</v>
      </c>
      <c r="G34" s="52"/>
      <c r="H34"/>
      <c r="J34"/>
      <c r="K34"/>
      <c r="L34"/>
      <c r="M34"/>
      <c r="N34"/>
      <c r="O34"/>
      <c r="P34"/>
      <c r="Q34"/>
    </row>
    <row r="35" spans="1:17">
      <c r="A35" s="62">
        <v>44256</v>
      </c>
      <c r="B35" s="63">
        <v>9.0358734130859375</v>
      </c>
      <c r="C35" s="63">
        <v>6790.7001953125</v>
      </c>
      <c r="D35" s="64">
        <f t="shared" si="0"/>
        <v>0.10401882989012014</v>
      </c>
      <c r="E35" s="65">
        <f t="shared" si="1"/>
        <v>1.7592554517412047E-2</v>
      </c>
      <c r="G35" s="52"/>
      <c r="H35"/>
      <c r="J35"/>
      <c r="K35"/>
      <c r="L35"/>
      <c r="M35"/>
      <c r="N35"/>
      <c r="O35"/>
      <c r="P35"/>
      <c r="Q35"/>
    </row>
    <row r="36" spans="1:17" ht="15" thickBot="1">
      <c r="A36" s="62">
        <v>44287</v>
      </c>
      <c r="B36" s="63">
        <v>9.1713142395019531</v>
      </c>
      <c r="C36" s="63">
        <v>7025.7998046875</v>
      </c>
      <c r="D36" s="64">
        <f t="shared" si="0"/>
        <v>1.4989234601258073E-2</v>
      </c>
      <c r="E36" s="65">
        <f t="shared" si="1"/>
        <v>3.4620820035213024E-2</v>
      </c>
      <c r="G36" s="52"/>
      <c r="H36"/>
      <c r="J36"/>
      <c r="K36"/>
      <c r="L36"/>
      <c r="M36"/>
      <c r="N36"/>
      <c r="O36"/>
      <c r="P36"/>
      <c r="Q36"/>
    </row>
    <row r="37" spans="1:17" ht="15" thickBot="1">
      <c r="A37" s="62">
        <v>44317</v>
      </c>
      <c r="B37" s="63">
        <v>8.9004316329956055</v>
      </c>
      <c r="C37" s="63">
        <v>7161.60009765625</v>
      </c>
      <c r="D37" s="64">
        <f t="shared" si="0"/>
        <v>-2.9535854887582383E-2</v>
      </c>
      <c r="E37" s="65">
        <f t="shared" si="1"/>
        <v>1.9328801950511919E-2</v>
      </c>
      <c r="G37" s="75" t="s">
        <v>152</v>
      </c>
      <c r="H37"/>
      <c r="J37"/>
      <c r="K37"/>
      <c r="L37"/>
      <c r="M37"/>
      <c r="N37"/>
      <c r="O37"/>
      <c r="P37"/>
      <c r="Q37"/>
    </row>
    <row r="38" spans="1:17">
      <c r="A38" s="62">
        <v>44348</v>
      </c>
      <c r="B38" s="63">
        <v>9.0068521499633789</v>
      </c>
      <c r="C38" s="63">
        <v>7313</v>
      </c>
      <c r="D38" s="64">
        <f t="shared" si="0"/>
        <v>1.1956781575991459E-2</v>
      </c>
      <c r="E38" s="65">
        <f t="shared" si="1"/>
        <v>2.1140513332111085E-2</v>
      </c>
      <c r="G38" t="s">
        <v>156</v>
      </c>
      <c r="H38"/>
      <c r="J38"/>
      <c r="K38"/>
      <c r="L38"/>
      <c r="M38"/>
      <c r="N38"/>
      <c r="O38"/>
      <c r="P38"/>
      <c r="Q38"/>
    </row>
    <row r="39" spans="1:17">
      <c r="A39" s="62">
        <v>44378</v>
      </c>
      <c r="B39" s="63">
        <v>9.1720724105834961</v>
      </c>
      <c r="C39" s="63">
        <v>7392.60009765625</v>
      </c>
      <c r="D39" s="64">
        <f t="shared" si="0"/>
        <v>1.834384065256239E-2</v>
      </c>
      <c r="E39" s="65">
        <f t="shared" si="1"/>
        <v>1.0884739184500206E-2</v>
      </c>
      <c r="G39" t="s">
        <v>159</v>
      </c>
      <c r="H39"/>
      <c r="J39"/>
      <c r="K39"/>
      <c r="L39"/>
      <c r="M39"/>
      <c r="N39"/>
      <c r="O39"/>
      <c r="P39"/>
      <c r="Q39"/>
    </row>
    <row r="40" spans="1:17">
      <c r="A40" s="62">
        <v>44409</v>
      </c>
      <c r="B40" s="63">
        <v>9.5995855331420898</v>
      </c>
      <c r="C40" s="63">
        <v>7534.89990234375</v>
      </c>
      <c r="D40" s="64">
        <f t="shared" si="0"/>
        <v>4.6610308272893017E-2</v>
      </c>
      <c r="E40" s="65">
        <f t="shared" si="1"/>
        <v>1.9248952034158419E-2</v>
      </c>
      <c r="G40" t="s">
        <v>157</v>
      </c>
      <c r="H40"/>
      <c r="J40"/>
      <c r="K40"/>
      <c r="L40"/>
      <c r="M40"/>
      <c r="N40"/>
      <c r="O40"/>
      <c r="P40"/>
      <c r="Q40"/>
    </row>
    <row r="41" spans="1:17">
      <c r="A41" s="62">
        <v>44440</v>
      </c>
      <c r="B41" s="63">
        <v>11.03757953643799</v>
      </c>
      <c r="C41" s="63">
        <v>7332.2001953125</v>
      </c>
      <c r="D41" s="64">
        <f t="shared" si="0"/>
        <v>0.14979750931238622</v>
      </c>
      <c r="E41" s="65">
        <f t="shared" si="1"/>
        <v>-2.6901446556469814E-2</v>
      </c>
      <c r="G41" t="s">
        <v>158</v>
      </c>
      <c r="H41"/>
      <c r="I41"/>
      <c r="J41"/>
      <c r="K41"/>
      <c r="L41"/>
      <c r="M41"/>
      <c r="N41"/>
      <c r="O41"/>
      <c r="P41"/>
      <c r="Q41"/>
    </row>
    <row r="42" spans="1:17">
      <c r="A42" s="62">
        <v>44470</v>
      </c>
      <c r="B42" s="63">
        <v>11.863456726074221</v>
      </c>
      <c r="C42" s="63">
        <v>7323.7001953125</v>
      </c>
      <c r="D42" s="64">
        <f t="shared" si="0"/>
        <v>7.4824121258631915E-2</v>
      </c>
      <c r="E42" s="65">
        <f t="shared" si="1"/>
        <v>-1.159270038130448E-3</v>
      </c>
    </row>
    <row r="43" spans="1:17">
      <c r="A43" s="62">
        <v>44501</v>
      </c>
      <c r="B43" s="63">
        <v>12.009199142456049</v>
      </c>
      <c r="C43" s="63">
        <v>7256</v>
      </c>
      <c r="D43" s="64">
        <f t="shared" si="0"/>
        <v>1.2284987398445798E-2</v>
      </c>
      <c r="E43" s="65">
        <f t="shared" si="1"/>
        <v>-9.2439878076701169E-3</v>
      </c>
    </row>
    <row r="44" spans="1:17">
      <c r="A44" s="62">
        <v>44531</v>
      </c>
      <c r="B44" s="63">
        <v>12.446428298950201</v>
      </c>
      <c r="C44" s="63">
        <v>7444.60009765625</v>
      </c>
      <c r="D44" s="64">
        <f t="shared" si="0"/>
        <v>3.6407852955691079E-2</v>
      </c>
      <c r="E44" s="65">
        <f t="shared" si="1"/>
        <v>2.5992295707862458E-2</v>
      </c>
    </row>
    <row r="45" spans="1:17">
      <c r="A45" s="62">
        <v>44562</v>
      </c>
      <c r="B45" s="63">
        <v>10.219051361083981</v>
      </c>
      <c r="C45" s="63">
        <v>6971.60009765625</v>
      </c>
      <c r="D45" s="64">
        <f t="shared" si="0"/>
        <v>-0.17895711800742778</v>
      </c>
      <c r="E45" s="65">
        <f t="shared" si="1"/>
        <v>-6.3535984981773902E-2</v>
      </c>
    </row>
    <row r="46" spans="1:17">
      <c r="A46" s="62">
        <v>44593</v>
      </c>
      <c r="B46" s="63">
        <v>9.6703767776489258</v>
      </c>
      <c r="C46" s="63">
        <v>7049.10009765625</v>
      </c>
      <c r="D46" s="64">
        <f t="shared" si="0"/>
        <v>-5.3691342185098349E-2</v>
      </c>
      <c r="E46" s="65">
        <f t="shared" si="1"/>
        <v>1.1116529765678092E-2</v>
      </c>
    </row>
    <row r="47" spans="1:17">
      <c r="A47" s="62">
        <v>44621</v>
      </c>
      <c r="B47" s="63">
        <v>11.24781322479248</v>
      </c>
      <c r="C47" s="63">
        <v>7499.60009765625</v>
      </c>
      <c r="D47" s="64">
        <f t="shared" si="0"/>
        <v>0.16312047435312682</v>
      </c>
      <c r="E47" s="65">
        <f t="shared" si="1"/>
        <v>6.3908866913350598E-2</v>
      </c>
    </row>
    <row r="48" spans="1:17">
      <c r="A48" s="62">
        <v>44652</v>
      </c>
      <c r="B48" s="63">
        <v>10.277835845947269</v>
      </c>
      <c r="C48" s="63">
        <v>7435</v>
      </c>
      <c r="D48" s="64">
        <f t="shared" si="0"/>
        <v>-8.6236974197542934E-2</v>
      </c>
      <c r="E48" s="65">
        <f t="shared" si="1"/>
        <v>-8.613805644975471E-3</v>
      </c>
    </row>
    <row r="49" spans="1:5">
      <c r="A49" s="62">
        <v>44682</v>
      </c>
      <c r="B49" s="63">
        <v>10.28763389587402</v>
      </c>
      <c r="C49" s="63">
        <v>7211.2001953125</v>
      </c>
      <c r="D49" s="64">
        <f t="shared" si="0"/>
        <v>9.5331839052617778E-4</v>
      </c>
      <c r="E49" s="65">
        <f t="shared" si="1"/>
        <v>-3.0100847974108943E-2</v>
      </c>
    </row>
    <row r="50" spans="1:5">
      <c r="A50" s="62">
        <v>44713</v>
      </c>
      <c r="B50" s="63">
        <v>10.493388175964361</v>
      </c>
      <c r="C50" s="63">
        <v>6568.10009765625</v>
      </c>
      <c r="D50" s="64">
        <f t="shared" si="0"/>
        <v>2.0000155737740742E-2</v>
      </c>
      <c r="E50" s="65">
        <f t="shared" si="1"/>
        <v>-8.9180730008616968E-2</v>
      </c>
    </row>
    <row r="51" spans="1:5">
      <c r="A51" s="62">
        <v>44743</v>
      </c>
      <c r="B51" s="63">
        <v>11.52851009368896</v>
      </c>
      <c r="C51" s="63">
        <v>6945.2001953125</v>
      </c>
      <c r="D51" s="64">
        <f t="shared" si="0"/>
        <v>9.8645156394347261E-2</v>
      </c>
      <c r="E51" s="65">
        <f t="shared" si="1"/>
        <v>5.7413877993548509E-2</v>
      </c>
    </row>
    <row r="52" spans="1:5">
      <c r="A52" s="62">
        <v>44774</v>
      </c>
      <c r="B52" s="63">
        <v>11.67605781555176</v>
      </c>
      <c r="C52" s="63">
        <v>6986.7998046875</v>
      </c>
      <c r="D52" s="64">
        <f t="shared" si="0"/>
        <v>1.2798507410213569E-2</v>
      </c>
      <c r="E52" s="65">
        <f t="shared" si="1"/>
        <v>5.9896919030608623E-3</v>
      </c>
    </row>
    <row r="53" spans="1:5">
      <c r="A53" s="62">
        <v>44805</v>
      </c>
      <c r="B53" s="63">
        <v>10.426809310913089</v>
      </c>
      <c r="C53" s="63">
        <v>6474.2001953125</v>
      </c>
      <c r="D53" s="64">
        <f t="shared" si="0"/>
        <v>-0.10699231918625406</v>
      </c>
      <c r="E53" s="65">
        <f t="shared" si="1"/>
        <v>-7.3366866620551058E-2</v>
      </c>
    </row>
    <row r="54" spans="1:5">
      <c r="A54" s="62">
        <v>44835</v>
      </c>
      <c r="B54" s="63">
        <v>11.85311794281006</v>
      </c>
      <c r="C54" s="63">
        <v>6863.5</v>
      </c>
      <c r="D54" s="64">
        <f t="shared" si="0"/>
        <v>0.13679243471002608</v>
      </c>
      <c r="E54" s="65">
        <f t="shared" si="1"/>
        <v>6.0130949452159951E-2</v>
      </c>
    </row>
    <row r="55" spans="1:5">
      <c r="A55" s="62">
        <v>44866</v>
      </c>
      <c r="B55" s="63">
        <v>13.37779331207275</v>
      </c>
      <c r="C55" s="63">
        <v>7284.2001953125</v>
      </c>
      <c r="D55" s="64">
        <f t="shared" si="0"/>
        <v>0.12863074311915856</v>
      </c>
      <c r="E55" s="65">
        <f t="shared" si="1"/>
        <v>6.1295285978363812E-2</v>
      </c>
    </row>
    <row r="56" spans="1:5">
      <c r="A56" s="62">
        <v>44896</v>
      </c>
      <c r="B56" s="63">
        <v>12.92530727386475</v>
      </c>
      <c r="C56" s="63">
        <v>7038.7001953125</v>
      </c>
      <c r="D56" s="64">
        <f t="shared" si="0"/>
        <v>-3.3823667898924409E-2</v>
      </c>
      <c r="E56" s="65">
        <f t="shared" si="1"/>
        <v>-3.3703082482272134E-2</v>
      </c>
    </row>
    <row r="57" spans="1:5">
      <c r="A57" s="62">
        <v>44927</v>
      </c>
      <c r="B57" s="63">
        <v>14.26439094543457</v>
      </c>
      <c r="C57" s="63">
        <v>7476.7001953125</v>
      </c>
      <c r="D57" s="64">
        <f t="shared" si="0"/>
        <v>0.10360168955344502</v>
      </c>
      <c r="E57" s="65">
        <f t="shared" si="1"/>
        <v>6.2227398219303461E-2</v>
      </c>
    </row>
    <row r="58" spans="1:5">
      <c r="A58" s="62">
        <v>44958</v>
      </c>
      <c r="B58" s="63">
        <v>14.67813777923584</v>
      </c>
      <c r="C58" s="63">
        <v>7258.39990234375</v>
      </c>
      <c r="D58" s="64">
        <f t="shared" si="0"/>
        <v>2.9005573065402589E-2</v>
      </c>
      <c r="E58" s="65">
        <f t="shared" si="1"/>
        <v>-2.9197411594169963E-2</v>
      </c>
    </row>
    <row r="59" spans="1:5">
      <c r="A59" s="62">
        <v>44986</v>
      </c>
      <c r="B59" s="63">
        <v>14.3234977722168</v>
      </c>
      <c r="C59" s="63">
        <v>7177.7998046875</v>
      </c>
      <c r="D59" s="64">
        <f t="shared" si="0"/>
        <v>-2.416110356456283E-2</v>
      </c>
      <c r="E59" s="65">
        <f t="shared" si="1"/>
        <v>-1.1104389223611679E-2</v>
      </c>
    </row>
    <row r="60" spans="1:5">
      <c r="A60" s="62">
        <v>45017</v>
      </c>
      <c r="B60" s="63">
        <v>14.87515926361084</v>
      </c>
      <c r="C60" s="63">
        <v>7309.2001953125</v>
      </c>
      <c r="D60" s="64">
        <f t="shared" si="0"/>
        <v>3.8514439710675544E-2</v>
      </c>
      <c r="E60" s="65">
        <f t="shared" si="1"/>
        <v>1.8306499791090339E-2</v>
      </c>
    </row>
    <row r="61" spans="1:5">
      <c r="A61" s="62">
        <v>45047</v>
      </c>
      <c r="B61" s="63">
        <v>16.1360969543457</v>
      </c>
      <c r="C61" s="63">
        <v>7091.2998046875</v>
      </c>
      <c r="D61" s="64">
        <f t="shared" si="0"/>
        <v>8.4768012791600594E-2</v>
      </c>
      <c r="E61" s="65">
        <f t="shared" si="1"/>
        <v>-2.9811796749628337E-2</v>
      </c>
    </row>
    <row r="62" spans="1:5" ht="15" thickBot="1">
      <c r="A62" s="76">
        <v>45078</v>
      </c>
      <c r="B62" s="77">
        <v>15.41696929931641</v>
      </c>
      <c r="C62" s="77">
        <v>7203.2998046875</v>
      </c>
      <c r="D62" s="78">
        <f t="shared" si="0"/>
        <v>-4.4566394033447948E-2</v>
      </c>
      <c r="E62" s="79">
        <f t="shared" si="1"/>
        <v>1.5794001534946474E-2</v>
      </c>
    </row>
    <row r="63" spans="1:5">
      <c r="A63" s="80"/>
    </row>
    <row r="64" spans="1:5">
      <c r="A64" s="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BA9D-D661-444E-9798-198F3A8EDB50}">
  <sheetPr>
    <pageSetUpPr fitToPage="1"/>
  </sheetPr>
  <dimension ref="A2:L88"/>
  <sheetViews>
    <sheetView zoomScale="80" zoomScaleNormal="80" zoomScaleSheetLayoutView="50" workbookViewId="0">
      <selection activeCell="H14" sqref="H14"/>
    </sheetView>
  </sheetViews>
  <sheetFormatPr defaultColWidth="8.88671875" defaultRowHeight="14.4"/>
  <cols>
    <col min="1" max="1" width="8.88671875" style="28"/>
    <col min="2" max="2" width="38.33203125" style="28" bestFit="1" customWidth="1"/>
    <col min="3" max="3" width="22.5546875" style="28" bestFit="1" customWidth="1"/>
    <col min="4" max="4" width="49" style="82" bestFit="1" customWidth="1"/>
    <col min="5" max="5" width="18.109375" style="82" bestFit="1" customWidth="1"/>
    <col min="6" max="6" width="20.109375" style="82" customWidth="1"/>
    <col min="7" max="7" width="18.109375" style="82" bestFit="1" customWidth="1"/>
    <col min="8" max="8" width="41.21875" style="82" customWidth="1"/>
    <col min="9" max="9" width="18.109375" style="82" bestFit="1" customWidth="1"/>
    <col min="10" max="10" width="41.44140625" style="28" bestFit="1" customWidth="1"/>
    <col min="11" max="12" width="16.88671875" style="28" customWidth="1"/>
    <col min="13" max="16384" width="8.88671875" style="28"/>
  </cols>
  <sheetData>
    <row r="2" spans="2:8" ht="15" thickBot="1">
      <c r="E2" s="28"/>
    </row>
    <row r="3" spans="2:8" ht="16.2" customHeight="1" thickBot="1">
      <c r="B3" s="257" t="s">
        <v>92</v>
      </c>
      <c r="C3" s="258"/>
      <c r="D3" s="259"/>
      <c r="F3" s="257" t="s">
        <v>94</v>
      </c>
      <c r="G3" s="258"/>
      <c r="H3" s="259"/>
    </row>
    <row r="4" spans="2:8" ht="15" thickBot="1">
      <c r="B4" s="83" t="s">
        <v>93</v>
      </c>
      <c r="C4" s="84" t="s">
        <v>48</v>
      </c>
      <c r="D4" s="84" t="s">
        <v>95</v>
      </c>
      <c r="F4" s="85" t="s">
        <v>94</v>
      </c>
      <c r="G4" s="86" t="s">
        <v>96</v>
      </c>
      <c r="H4" s="87" t="s">
        <v>95</v>
      </c>
    </row>
    <row r="5" spans="2:8">
      <c r="B5" s="88" t="s">
        <v>27</v>
      </c>
      <c r="C5" s="98">
        <v>0.28000000000000003</v>
      </c>
      <c r="D5" s="89" t="s">
        <v>97</v>
      </c>
      <c r="F5" s="90" t="s">
        <v>26</v>
      </c>
      <c r="G5" s="91">
        <f>Beta!H8</f>
        <v>0.65892380835686026</v>
      </c>
      <c r="H5" s="92" t="s">
        <v>105</v>
      </c>
    </row>
    <row r="6" spans="2:8">
      <c r="B6" s="93" t="s">
        <v>28</v>
      </c>
      <c r="C6" s="98">
        <v>0.3</v>
      </c>
      <c r="D6" s="94" t="s">
        <v>98</v>
      </c>
      <c r="F6" s="95" t="s">
        <v>53</v>
      </c>
      <c r="G6" s="96">
        <f>C7/C8</f>
        <v>0.13636363636363635</v>
      </c>
      <c r="H6" s="97" t="s">
        <v>106</v>
      </c>
    </row>
    <row r="7" spans="2:8">
      <c r="B7" s="93" t="s">
        <v>29</v>
      </c>
      <c r="C7" s="98">
        <v>12</v>
      </c>
      <c r="D7" s="99" t="s">
        <v>99</v>
      </c>
      <c r="F7" s="95" t="s">
        <v>31</v>
      </c>
      <c r="G7" s="96">
        <f>G5/(1+(1-0.3)*G6)</f>
        <v>0.60150721094817117</v>
      </c>
      <c r="H7" s="97" t="s">
        <v>107</v>
      </c>
    </row>
    <row r="8" spans="2:8">
      <c r="B8" s="93" t="s">
        <v>30</v>
      </c>
      <c r="C8" s="98">
        <v>88</v>
      </c>
      <c r="D8" s="99" t="s">
        <v>100</v>
      </c>
      <c r="F8" s="95" t="s">
        <v>55</v>
      </c>
      <c r="G8" s="100">
        <f>C9/(1+C9)</f>
        <v>0.33333333333333331</v>
      </c>
      <c r="H8" s="97" t="s">
        <v>108</v>
      </c>
    </row>
    <row r="9" spans="2:8">
      <c r="B9" s="93" t="s">
        <v>54</v>
      </c>
      <c r="C9" s="101">
        <v>0.5</v>
      </c>
      <c r="D9" s="102" t="s">
        <v>101</v>
      </c>
      <c r="F9" s="95" t="s">
        <v>56</v>
      </c>
      <c r="G9" s="100">
        <f>1/(1+C9)</f>
        <v>0.66666666666666663</v>
      </c>
      <c r="H9" s="97" t="s">
        <v>109</v>
      </c>
    </row>
    <row r="10" spans="2:8" ht="15.6">
      <c r="B10" s="93" t="s">
        <v>160</v>
      </c>
      <c r="C10" s="103">
        <v>4.4999999999999998E-2</v>
      </c>
      <c r="D10" s="104" t="s">
        <v>102</v>
      </c>
      <c r="F10" s="105" t="s">
        <v>40</v>
      </c>
      <c r="G10" s="106">
        <f>G7*(1+C9*(1-C5))</f>
        <v>0.81804980688951268</v>
      </c>
      <c r="H10" s="97" t="s">
        <v>110</v>
      </c>
    </row>
    <row r="11" spans="2:8" ht="15.6">
      <c r="B11" s="93" t="s">
        <v>161</v>
      </c>
      <c r="C11" s="103">
        <v>0.12</v>
      </c>
      <c r="D11" s="104" t="s">
        <v>103</v>
      </c>
      <c r="F11" s="105" t="s">
        <v>162</v>
      </c>
      <c r="G11" s="107">
        <f>C10+G10*(C11-C10)</f>
        <v>0.10635373551671345</v>
      </c>
      <c r="H11" s="97" t="s">
        <v>111</v>
      </c>
    </row>
    <row r="12" spans="2:8" ht="16.2" thickBot="1">
      <c r="B12" s="108" t="s">
        <v>163</v>
      </c>
      <c r="C12" s="109">
        <v>0.1</v>
      </c>
      <c r="D12" s="110" t="s">
        <v>104</v>
      </c>
      <c r="F12" s="111" t="s">
        <v>20</v>
      </c>
      <c r="G12" s="112">
        <f>Sensitivity!G21</f>
        <v>9.4899999999999998E-2</v>
      </c>
      <c r="H12" s="113" t="s">
        <v>112</v>
      </c>
    </row>
    <row r="13" spans="2:8" ht="15" thickBot="1">
      <c r="F13" s="111" t="s">
        <v>165</v>
      </c>
      <c r="G13" s="112">
        <f>IRR(D65:I65)</f>
        <v>0.15159651435345234</v>
      </c>
      <c r="H13" s="113" t="s">
        <v>170</v>
      </c>
    </row>
    <row r="14" spans="2:8" ht="15" thickBot="1">
      <c r="D14" s="75" t="s">
        <v>113</v>
      </c>
      <c r="E14" s="28"/>
      <c r="F14" s="28"/>
      <c r="G14" s="28"/>
    </row>
    <row r="15" spans="2:8">
      <c r="D15" s="81" t="s">
        <v>115</v>
      </c>
      <c r="E15" s="114" t="s">
        <v>114</v>
      </c>
      <c r="F15" s="28"/>
      <c r="G15" s="28"/>
    </row>
    <row r="16" spans="2:8">
      <c r="D16" s="81" t="s">
        <v>116</v>
      </c>
      <c r="E16" s="114" t="s">
        <v>118</v>
      </c>
      <c r="F16" s="28"/>
      <c r="G16" s="28"/>
    </row>
    <row r="17" spans="2:12">
      <c r="D17" s="115" t="s">
        <v>117</v>
      </c>
      <c r="E17" s="114" t="s">
        <v>119</v>
      </c>
      <c r="F17" s="28"/>
      <c r="G17" s="28"/>
    </row>
    <row r="18" spans="2:12">
      <c r="D18" s="115" t="s">
        <v>120</v>
      </c>
      <c r="E18" s="114" t="s">
        <v>121</v>
      </c>
      <c r="F18" s="28"/>
      <c r="G18" s="28"/>
    </row>
    <row r="19" spans="2:12">
      <c r="D19" s="115" t="s">
        <v>123</v>
      </c>
      <c r="E19" s="28"/>
      <c r="F19" s="28"/>
      <c r="G19" s="28"/>
    </row>
    <row r="20" spans="2:12" ht="15" customHeight="1">
      <c r="D20" s="115" t="s">
        <v>124</v>
      </c>
      <c r="E20" s="28"/>
      <c r="F20" s="28"/>
      <c r="G20" s="28"/>
    </row>
    <row r="21" spans="2:12" ht="15.9" customHeight="1" thickBot="1">
      <c r="D21" s="116" t="s">
        <v>122</v>
      </c>
      <c r="E21" s="114" t="s">
        <v>125</v>
      </c>
      <c r="F21" s="28"/>
      <c r="G21" s="28"/>
    </row>
    <row r="22" spans="2:12" s="118" customFormat="1">
      <c r="B22" s="28"/>
      <c r="C22" s="28"/>
      <c r="D22" s="82"/>
      <c r="E22" s="82"/>
      <c r="F22" s="82"/>
      <c r="G22" s="28"/>
      <c r="H22" s="28"/>
      <c r="I22" s="82"/>
      <c r="J22" s="117"/>
      <c r="K22" s="117"/>
      <c r="L22" s="117"/>
    </row>
    <row r="25" spans="2:12">
      <c r="C25" s="119"/>
      <c r="J25" s="120"/>
      <c r="K25" s="120"/>
      <c r="L25" s="120"/>
    </row>
    <row r="26" spans="2:12" ht="15" thickBot="1">
      <c r="C26" s="119"/>
      <c r="E26" s="121"/>
    </row>
    <row r="27" spans="2:12">
      <c r="B27" s="245" t="s">
        <v>20</v>
      </c>
      <c r="C27" s="235"/>
      <c r="D27" s="235"/>
      <c r="E27" s="235"/>
      <c r="F27" s="235"/>
      <c r="G27" s="235"/>
      <c r="H27" s="235"/>
      <c r="I27" s="236"/>
    </row>
    <row r="28" spans="2:12" ht="15" thickBot="1">
      <c r="B28" s="246"/>
      <c r="C28" s="237"/>
      <c r="D28" s="237"/>
      <c r="E28" s="237"/>
      <c r="F28" s="237"/>
      <c r="G28" s="237"/>
      <c r="H28" s="237"/>
      <c r="I28" s="238"/>
    </row>
    <row r="29" spans="2:12">
      <c r="B29" s="122" t="s">
        <v>0</v>
      </c>
      <c r="C29" s="123"/>
      <c r="D29" s="124">
        <v>2000000000</v>
      </c>
      <c r="E29" s="125">
        <v>2000000000</v>
      </c>
      <c r="F29" s="125">
        <f>E29*(1+$D$30)</f>
        <v>2040000000</v>
      </c>
      <c r="G29" s="125">
        <f>F29*(1+$D$30)</f>
        <v>2080800000</v>
      </c>
      <c r="H29" s="125">
        <f>G29*(1+$D$30)</f>
        <v>2122416000</v>
      </c>
      <c r="I29" s="126">
        <f>H29*(1+$D$30)</f>
        <v>2164864320</v>
      </c>
    </row>
    <row r="30" spans="2:12">
      <c r="B30" s="127" t="s">
        <v>1</v>
      </c>
      <c r="C30" s="128"/>
      <c r="D30" s="129">
        <v>0.02</v>
      </c>
      <c r="E30" s="130"/>
      <c r="F30" s="130"/>
      <c r="G30" s="130"/>
      <c r="H30" s="130"/>
      <c r="I30" s="131"/>
    </row>
    <row r="31" spans="2:12">
      <c r="B31" s="127"/>
      <c r="C31" s="132"/>
      <c r="D31" s="130"/>
      <c r="E31" s="130"/>
      <c r="F31" s="130"/>
      <c r="G31" s="130"/>
      <c r="H31" s="130"/>
      <c r="I31" s="131"/>
    </row>
    <row r="32" spans="2:12">
      <c r="B32" s="127" t="s">
        <v>21</v>
      </c>
      <c r="C32" s="133"/>
      <c r="D32" s="130"/>
      <c r="E32" s="134">
        <f>Sensitivity!G10</f>
        <v>0.01</v>
      </c>
      <c r="F32" s="134">
        <f>E32+0.005</f>
        <v>1.4999999999999999E-2</v>
      </c>
      <c r="G32" s="134">
        <f t="shared" ref="G32:I32" si="0">F32+0.005</f>
        <v>0.02</v>
      </c>
      <c r="H32" s="134">
        <f t="shared" si="0"/>
        <v>2.5000000000000001E-2</v>
      </c>
      <c r="I32" s="135">
        <f t="shared" si="0"/>
        <v>3.0000000000000002E-2</v>
      </c>
    </row>
    <row r="33" spans="1:12">
      <c r="B33" s="127"/>
      <c r="C33" s="133"/>
      <c r="D33" s="130"/>
      <c r="E33" s="130"/>
      <c r="F33" s="130"/>
      <c r="G33" s="130"/>
      <c r="H33" s="130"/>
      <c r="I33" s="131"/>
    </row>
    <row r="34" spans="1:12">
      <c r="B34" s="127" t="s">
        <v>22</v>
      </c>
      <c r="C34" s="136">
        <v>600000</v>
      </c>
      <c r="D34" s="130" t="s">
        <v>42</v>
      </c>
      <c r="E34" s="130"/>
      <c r="F34" s="130"/>
      <c r="G34" s="130"/>
      <c r="H34" s="130"/>
      <c r="I34" s="131"/>
    </row>
    <row r="35" spans="1:12">
      <c r="B35" s="127"/>
      <c r="C35" s="136">
        <v>500000</v>
      </c>
      <c r="D35" s="130" t="s">
        <v>43</v>
      </c>
      <c r="E35" s="130"/>
      <c r="F35" s="130"/>
      <c r="G35" s="130"/>
      <c r="H35" s="130"/>
      <c r="I35" s="131"/>
    </row>
    <row r="36" spans="1:12">
      <c r="B36" s="127"/>
      <c r="C36" s="136">
        <v>400000</v>
      </c>
      <c r="D36" s="130" t="s">
        <v>44</v>
      </c>
      <c r="E36" s="130"/>
      <c r="F36" s="130"/>
      <c r="G36" s="130"/>
      <c r="H36" s="130"/>
      <c r="I36" s="131"/>
    </row>
    <row r="37" spans="1:12">
      <c r="B37" s="127"/>
      <c r="C37" s="136">
        <v>300000</v>
      </c>
      <c r="D37" s="130" t="s">
        <v>45</v>
      </c>
      <c r="E37" s="130"/>
      <c r="F37" s="130"/>
      <c r="G37" s="130"/>
      <c r="H37" s="130"/>
      <c r="I37" s="131"/>
    </row>
    <row r="38" spans="1:12">
      <c r="B38" s="127"/>
      <c r="C38" s="136">
        <v>200000</v>
      </c>
      <c r="D38" s="130" t="s">
        <v>46</v>
      </c>
      <c r="E38" s="130"/>
      <c r="F38" s="130"/>
      <c r="G38" s="130"/>
      <c r="H38" s="130"/>
      <c r="I38" s="131"/>
    </row>
    <row r="39" spans="1:12">
      <c r="B39" s="127"/>
      <c r="C39" s="128"/>
      <c r="D39" s="130"/>
      <c r="E39" s="130"/>
      <c r="F39" s="130"/>
      <c r="G39" s="130"/>
      <c r="H39" s="130"/>
      <c r="I39" s="131"/>
    </row>
    <row r="40" spans="1:12">
      <c r="B40" s="127" t="s">
        <v>47</v>
      </c>
      <c r="C40" s="136">
        <v>10000000</v>
      </c>
      <c r="D40" s="130"/>
      <c r="E40" s="130"/>
      <c r="F40" s="130"/>
      <c r="G40" s="130"/>
      <c r="H40" s="130"/>
      <c r="I40" s="131"/>
    </row>
    <row r="41" spans="1:12" s="137" customFormat="1" ht="35.1" customHeight="1">
      <c r="B41" s="127" t="s">
        <v>45</v>
      </c>
      <c r="C41" s="138">
        <v>1000000</v>
      </c>
      <c r="D41" s="130"/>
      <c r="E41" s="130"/>
      <c r="F41" s="130"/>
      <c r="G41" s="130"/>
      <c r="H41" s="130"/>
      <c r="I41" s="131"/>
      <c r="J41" s="139"/>
      <c r="K41" s="139"/>
      <c r="L41" s="139"/>
    </row>
    <row r="42" spans="1:12" ht="21" customHeight="1">
      <c r="B42" s="127" t="s">
        <v>18</v>
      </c>
      <c r="C42" s="140">
        <v>1.4999999999999999E-2</v>
      </c>
      <c r="D42" s="130"/>
      <c r="E42" s="141">
        <f>E50*$C$42</f>
        <v>300000</v>
      </c>
      <c r="F42" s="141">
        <f t="shared" ref="F42:I42" si="1">F50*$C$42</f>
        <v>459000</v>
      </c>
      <c r="G42" s="141">
        <f t="shared" si="1"/>
        <v>624240</v>
      </c>
      <c r="H42" s="141">
        <f t="shared" si="1"/>
        <v>795906</v>
      </c>
      <c r="I42" s="142">
        <f t="shared" si="1"/>
        <v>974188.94400000002</v>
      </c>
    </row>
    <row r="43" spans="1:12" s="118" customFormat="1">
      <c r="A43" s="28"/>
      <c r="B43" s="127" t="s">
        <v>2</v>
      </c>
      <c r="C43" s="143">
        <v>0.2</v>
      </c>
      <c r="D43" s="130" t="s">
        <v>3</v>
      </c>
      <c r="E43" s="130"/>
      <c r="F43" s="130"/>
      <c r="G43" s="130"/>
      <c r="H43" s="130"/>
      <c r="I43" s="131"/>
      <c r="J43" s="144"/>
      <c r="K43" s="144"/>
      <c r="L43" s="144"/>
    </row>
    <row r="44" spans="1:12" s="118" customFormat="1">
      <c r="A44" s="28"/>
      <c r="B44" s="127" t="s">
        <v>5</v>
      </c>
      <c r="C44" s="132">
        <f>Sensitivity!G16</f>
        <v>0.85</v>
      </c>
      <c r="D44" s="130" t="s">
        <v>6</v>
      </c>
      <c r="E44" s="130"/>
      <c r="F44" s="130"/>
      <c r="G44" s="130"/>
      <c r="H44" s="130"/>
      <c r="I44" s="131"/>
      <c r="J44" s="145"/>
      <c r="K44" s="145"/>
      <c r="L44" s="145"/>
    </row>
    <row r="45" spans="1:12" s="118" customFormat="1" ht="15" thickBot="1">
      <c r="A45" s="28"/>
      <c r="B45" s="146" t="s">
        <v>7</v>
      </c>
      <c r="C45" s="147">
        <v>1500000</v>
      </c>
      <c r="D45" s="148" t="s">
        <v>3</v>
      </c>
      <c r="E45" s="148"/>
      <c r="F45" s="148"/>
      <c r="G45" s="148"/>
      <c r="H45" s="148"/>
      <c r="I45" s="149"/>
      <c r="J45" s="150"/>
      <c r="K45" s="150"/>
      <c r="L45" s="150"/>
    </row>
    <row r="46" spans="1:12" s="118" customFormat="1">
      <c r="B46" s="151"/>
      <c r="C46" s="152"/>
      <c r="D46" s="151"/>
      <c r="E46" s="151"/>
      <c r="F46" s="151"/>
      <c r="G46" s="151"/>
      <c r="H46" s="151"/>
      <c r="I46" s="151"/>
      <c r="J46" s="150"/>
      <c r="K46" s="150"/>
      <c r="L46" s="150"/>
    </row>
    <row r="47" spans="1:12" s="118" customFormat="1" ht="15" thickBot="1">
      <c r="B47" s="28"/>
      <c r="C47" s="28"/>
      <c r="D47" s="82"/>
      <c r="E47" s="82"/>
      <c r="F47" s="82"/>
      <c r="G47" s="82"/>
      <c r="H47" s="82"/>
      <c r="I47" s="82"/>
      <c r="J47" s="153"/>
      <c r="K47" s="153"/>
      <c r="L47" s="153"/>
    </row>
    <row r="48" spans="1:12" s="118" customFormat="1" ht="15" thickBot="1">
      <c r="B48" s="242" t="s">
        <v>41</v>
      </c>
      <c r="C48" s="243"/>
      <c r="D48" s="243"/>
      <c r="E48" s="243"/>
      <c r="F48" s="243"/>
      <c r="G48" s="243"/>
      <c r="H48" s="243"/>
      <c r="I48" s="244"/>
      <c r="J48" s="154"/>
      <c r="K48" s="154"/>
      <c r="L48" s="154"/>
    </row>
    <row r="49" spans="1:12" s="118" customFormat="1" ht="15" thickBot="1">
      <c r="A49" s="28"/>
      <c r="B49" s="155"/>
      <c r="C49" s="156" t="s">
        <v>8</v>
      </c>
      <c r="D49" s="157">
        <v>0</v>
      </c>
      <c r="E49" s="158">
        <v>1</v>
      </c>
      <c r="F49" s="158">
        <v>2</v>
      </c>
      <c r="G49" s="158">
        <v>3</v>
      </c>
      <c r="H49" s="158">
        <v>4</v>
      </c>
      <c r="I49" s="159">
        <v>5</v>
      </c>
      <c r="J49" s="153"/>
      <c r="K49" s="153"/>
      <c r="L49" s="153"/>
    </row>
    <row r="50" spans="1:12" s="118" customFormat="1">
      <c r="A50" s="28"/>
      <c r="B50" s="160" t="s">
        <v>4</v>
      </c>
      <c r="C50" s="161"/>
      <c r="D50" s="162"/>
      <c r="E50" s="163">
        <f>E29*E32</f>
        <v>20000000</v>
      </c>
      <c r="F50" s="163">
        <f>F29*F32</f>
        <v>30600000</v>
      </c>
      <c r="G50" s="163">
        <f>G29*G32</f>
        <v>41616000</v>
      </c>
      <c r="H50" s="163">
        <f>H29*H32</f>
        <v>53060400</v>
      </c>
      <c r="I50" s="164">
        <f>I29*I32</f>
        <v>64945929.600000001</v>
      </c>
      <c r="J50" s="153"/>
      <c r="K50" s="153"/>
      <c r="L50" s="153"/>
    </row>
    <row r="51" spans="1:12" s="118" customFormat="1">
      <c r="A51" s="28"/>
      <c r="B51" s="165" t="s">
        <v>33</v>
      </c>
      <c r="C51" s="161"/>
      <c r="D51" s="166">
        <f>-C34</f>
        <v>-600000</v>
      </c>
      <c r="E51" s="167">
        <f>-C35</f>
        <v>-500000</v>
      </c>
      <c r="F51" s="167">
        <f>-C36</f>
        <v>-400000</v>
      </c>
      <c r="G51" s="167">
        <f>-C37</f>
        <v>-300000</v>
      </c>
      <c r="H51" s="167">
        <f>-C38</f>
        <v>-200000</v>
      </c>
      <c r="I51" s="168"/>
      <c r="J51" s="153"/>
      <c r="K51" s="153"/>
      <c r="L51" s="153"/>
    </row>
    <row r="52" spans="1:12" s="118" customFormat="1">
      <c r="A52" s="28"/>
      <c r="B52" s="165" t="s">
        <v>9</v>
      </c>
      <c r="C52" s="161"/>
      <c r="D52" s="162"/>
      <c r="E52" s="167">
        <f>-E50*$C$44</f>
        <v>-17000000</v>
      </c>
      <c r="F52" s="167">
        <f>-F50*$C$44</f>
        <v>-26010000</v>
      </c>
      <c r="G52" s="167">
        <f>-G50*$C$44</f>
        <v>-35373600</v>
      </c>
      <c r="H52" s="167">
        <f>-H50*$C$44</f>
        <v>-45101340</v>
      </c>
      <c r="I52" s="168">
        <f>-I50*$C$44</f>
        <v>-55204040.159999996</v>
      </c>
      <c r="J52" s="153"/>
      <c r="K52" s="153"/>
      <c r="L52" s="153"/>
    </row>
    <row r="53" spans="1:12" s="118" customFormat="1">
      <c r="A53" s="28"/>
      <c r="B53" s="169" t="s">
        <v>10</v>
      </c>
      <c r="C53" s="170"/>
      <c r="D53" s="171"/>
      <c r="E53" s="172">
        <f>-C45</f>
        <v>-1500000</v>
      </c>
      <c r="F53" s="172">
        <f>E53</f>
        <v>-1500000</v>
      </c>
      <c r="G53" s="172">
        <f t="shared" ref="G53:I53" si="2">F53</f>
        <v>-1500000</v>
      </c>
      <c r="H53" s="172">
        <f t="shared" si="2"/>
        <v>-1500000</v>
      </c>
      <c r="I53" s="173">
        <f t="shared" si="2"/>
        <v>-1500000</v>
      </c>
      <c r="J53" s="153"/>
      <c r="K53" s="153"/>
      <c r="L53" s="153"/>
    </row>
    <row r="54" spans="1:12" s="118" customFormat="1">
      <c r="A54" s="28"/>
      <c r="B54" s="160" t="s">
        <v>11</v>
      </c>
      <c r="C54" s="161"/>
      <c r="D54" s="174"/>
      <c r="E54" s="175">
        <f t="shared" ref="E54:I54" si="3">SUM(E50:E53)</f>
        <v>1000000</v>
      </c>
      <c r="F54" s="174">
        <f t="shared" si="3"/>
        <v>2690000</v>
      </c>
      <c r="G54" s="174">
        <f t="shared" si="3"/>
        <v>4442400</v>
      </c>
      <c r="H54" s="174">
        <f t="shared" si="3"/>
        <v>6259060</v>
      </c>
      <c r="I54" s="176">
        <f t="shared" si="3"/>
        <v>8241889.4400000051</v>
      </c>
      <c r="J54" s="153"/>
      <c r="K54" s="153"/>
      <c r="L54" s="153"/>
    </row>
    <row r="55" spans="1:12" s="118" customFormat="1" ht="15.9" customHeight="1">
      <c r="A55" s="28"/>
      <c r="B55" s="169" t="s">
        <v>12</v>
      </c>
      <c r="C55" s="170"/>
      <c r="D55" s="124"/>
      <c r="E55" s="177">
        <f>-$C$40*$C$43</f>
        <v>-2000000</v>
      </c>
      <c r="F55" s="177">
        <f>-$C$40*$C$43</f>
        <v>-2000000</v>
      </c>
      <c r="G55" s="177">
        <f>-$C$40*$C$43</f>
        <v>-2000000</v>
      </c>
      <c r="H55" s="177">
        <f>-$C$40*$C$43+G62/2</f>
        <v>-2500000</v>
      </c>
      <c r="I55" s="178">
        <f>-$C$40*$C$43+G62/2</f>
        <v>-2500000</v>
      </c>
      <c r="J55" s="153"/>
      <c r="K55" s="153"/>
      <c r="L55" s="153"/>
    </row>
    <row r="56" spans="1:12">
      <c r="B56" s="179" t="s">
        <v>35</v>
      </c>
      <c r="C56" s="180"/>
      <c r="D56" s="181"/>
      <c r="E56" s="182">
        <f t="shared" ref="E56:I56" si="4">SUM(E54:E55)</f>
        <v>-1000000</v>
      </c>
      <c r="F56" s="181">
        <f t="shared" si="4"/>
        <v>690000</v>
      </c>
      <c r="G56" s="181">
        <f t="shared" si="4"/>
        <v>2442400</v>
      </c>
      <c r="H56" s="181">
        <f t="shared" si="4"/>
        <v>3759060</v>
      </c>
      <c r="I56" s="183">
        <f t="shared" si="4"/>
        <v>5741889.4400000051</v>
      </c>
    </row>
    <row r="57" spans="1:12" ht="11.1" customHeight="1">
      <c r="B57" s="169" t="s">
        <v>13</v>
      </c>
      <c r="C57" s="170"/>
      <c r="D57" s="124"/>
      <c r="E57" s="124">
        <f>MAX(0,E56*$C$5)</f>
        <v>0</v>
      </c>
      <c r="F57" s="124">
        <f t="shared" ref="F57:I57" si="5">MAX(0,F56*$C$5)</f>
        <v>193200.00000000003</v>
      </c>
      <c r="G57" s="124">
        <f t="shared" si="5"/>
        <v>683872.00000000012</v>
      </c>
      <c r="H57" s="124">
        <f t="shared" si="5"/>
        <v>1052536.8</v>
      </c>
      <c r="I57" s="124">
        <f t="shared" si="5"/>
        <v>1607729.0432000016</v>
      </c>
      <c r="J57" s="28" t="s">
        <v>147</v>
      </c>
    </row>
    <row r="58" spans="1:12" ht="11.1" customHeight="1">
      <c r="B58" s="160" t="s">
        <v>34</v>
      </c>
      <c r="C58" s="161"/>
      <c r="D58" s="174"/>
      <c r="E58" s="175">
        <f>E56-E57</f>
        <v>-1000000</v>
      </c>
      <c r="F58" s="175">
        <f>F56-F57</f>
        <v>496800</v>
      </c>
      <c r="G58" s="175">
        <f>G56-G57</f>
        <v>1758528</v>
      </c>
      <c r="H58" s="175">
        <f>H56-H57</f>
        <v>2706523.2</v>
      </c>
      <c r="I58" s="175">
        <f>I56-I57</f>
        <v>4134160.3968000035</v>
      </c>
    </row>
    <row r="59" spans="1:12" ht="11.1" customHeight="1">
      <c r="B59" s="184" t="s">
        <v>14</v>
      </c>
      <c r="C59" s="170"/>
      <c r="D59" s="124"/>
      <c r="E59" s="124">
        <f>-E55</f>
        <v>2000000</v>
      </c>
      <c r="F59" s="124">
        <f t="shared" ref="F59:I59" si="6">-F55</f>
        <v>2000000</v>
      </c>
      <c r="G59" s="124">
        <f t="shared" si="6"/>
        <v>2000000</v>
      </c>
      <c r="H59" s="124">
        <f t="shared" si="6"/>
        <v>2500000</v>
      </c>
      <c r="I59" s="185">
        <f t="shared" si="6"/>
        <v>2500000</v>
      </c>
    </row>
    <row r="60" spans="1:12" s="118" customFormat="1" ht="17.399999999999999" customHeight="1" thickBot="1">
      <c r="A60" s="28"/>
      <c r="B60" s="186" t="s">
        <v>36</v>
      </c>
      <c r="C60" s="187"/>
      <c r="D60" s="188">
        <f>D51</f>
        <v>-600000</v>
      </c>
      <c r="E60" s="188">
        <f>SUM(E58:E59)</f>
        <v>1000000</v>
      </c>
      <c r="F60" s="188">
        <f t="shared" ref="F60:I60" si="7">SUM(F58:F59)</f>
        <v>2496800</v>
      </c>
      <c r="G60" s="188">
        <f t="shared" si="7"/>
        <v>3758528</v>
      </c>
      <c r="H60" s="188">
        <f t="shared" si="7"/>
        <v>5206523.2</v>
      </c>
      <c r="I60" s="189">
        <f t="shared" si="7"/>
        <v>6634160.3968000039</v>
      </c>
      <c r="J60" s="153"/>
      <c r="K60" s="153"/>
      <c r="L60" s="153"/>
    </row>
    <row r="61" spans="1:12" s="118" customFormat="1" ht="15" thickBot="1">
      <c r="A61" s="28"/>
      <c r="B61" s="186" t="s">
        <v>164</v>
      </c>
      <c r="C61" s="187"/>
      <c r="D61" s="188"/>
      <c r="E61" s="188">
        <f>-E42+D42</f>
        <v>-300000</v>
      </c>
      <c r="F61" s="188">
        <f>-F42+E42</f>
        <v>-159000</v>
      </c>
      <c r="G61" s="190">
        <f>-G42+F42</f>
        <v>-165240</v>
      </c>
      <c r="H61" s="191">
        <f>-H42+G42</f>
        <v>-171666</v>
      </c>
      <c r="I61" s="192">
        <f>-SUM(E61:H61)</f>
        <v>795906</v>
      </c>
      <c r="J61" s="153"/>
      <c r="K61" s="153"/>
      <c r="L61" s="153"/>
    </row>
    <row r="62" spans="1:12" s="118" customFormat="1">
      <c r="A62" s="28"/>
      <c r="B62" s="255" t="s">
        <v>23</v>
      </c>
      <c r="C62" s="247"/>
      <c r="D62" s="249">
        <f>-C40</f>
        <v>-10000000</v>
      </c>
      <c r="E62" s="251"/>
      <c r="F62" s="251"/>
      <c r="G62" s="249">
        <f>-C41</f>
        <v>-1000000</v>
      </c>
      <c r="H62" s="251"/>
      <c r="I62" s="253"/>
      <c r="J62" s="153"/>
      <c r="K62" s="153"/>
      <c r="L62" s="153"/>
    </row>
    <row r="63" spans="1:12">
      <c r="B63" s="256"/>
      <c r="C63" s="248"/>
      <c r="D63" s="250"/>
      <c r="E63" s="252"/>
      <c r="F63" s="252"/>
      <c r="G63" s="250"/>
      <c r="H63" s="252"/>
      <c r="I63" s="254"/>
    </row>
    <row r="64" spans="1:12">
      <c r="B64" s="193"/>
      <c r="C64" s="194"/>
      <c r="D64" s="195"/>
      <c r="E64" s="167"/>
      <c r="F64" s="167"/>
      <c r="G64" s="167"/>
      <c r="H64" s="167"/>
      <c r="I64" s="196"/>
      <c r="J64" s="197"/>
      <c r="K64" s="197"/>
      <c r="L64" s="197"/>
    </row>
    <row r="65" spans="2:12">
      <c r="B65" s="160" t="s">
        <v>37</v>
      </c>
      <c r="C65" s="161"/>
      <c r="D65" s="175">
        <f>SUM(D60:D62)</f>
        <v>-10600000</v>
      </c>
      <c r="E65" s="175">
        <f t="shared" ref="E65:I65" si="8">SUM(E60:E62)</f>
        <v>700000</v>
      </c>
      <c r="F65" s="175">
        <f t="shared" si="8"/>
        <v>2337800</v>
      </c>
      <c r="G65" s="175">
        <f t="shared" si="8"/>
        <v>2593288</v>
      </c>
      <c r="H65" s="175">
        <f t="shared" si="8"/>
        <v>5034857.2</v>
      </c>
      <c r="I65" s="175">
        <f t="shared" si="8"/>
        <v>7430066.3968000039</v>
      </c>
      <c r="J65" s="198"/>
      <c r="K65" s="198"/>
      <c r="L65" s="198"/>
    </row>
    <row r="66" spans="2:12" ht="18.899999999999999" customHeight="1">
      <c r="B66" s="184" t="s">
        <v>127</v>
      </c>
      <c r="C66" s="170"/>
      <c r="D66" s="177"/>
      <c r="E66" s="199"/>
      <c r="F66" s="199"/>
      <c r="G66" s="199"/>
      <c r="H66" s="199"/>
      <c r="I66" s="200"/>
    </row>
    <row r="67" spans="2:12">
      <c r="B67" s="193"/>
      <c r="C67" s="201"/>
      <c r="D67" s="195"/>
      <c r="E67" s="195"/>
      <c r="F67" s="195"/>
      <c r="G67" s="195"/>
      <c r="H67" s="195"/>
      <c r="I67" s="202"/>
    </row>
    <row r="68" spans="2:12">
      <c r="B68" s="193" t="s">
        <v>15</v>
      </c>
      <c r="C68" s="201"/>
      <c r="D68" s="203">
        <f>1/(1+$G$11)^D49</f>
        <v>1</v>
      </c>
      <c r="E68" s="203">
        <f>1/(1+$G$12)^E49</f>
        <v>0.91332541784637866</v>
      </c>
      <c r="F68" s="203">
        <f>1/(1+$G$12)^F49</f>
        <v>0.83416331888426221</v>
      </c>
      <c r="G68" s="203">
        <f>1/(1+$G$12)^G49</f>
        <v>0.76186256177209077</v>
      </c>
      <c r="H68" s="203">
        <f>1/(1+$G$12)^H49</f>
        <v>0.69582844257200727</v>
      </c>
      <c r="I68" s="203">
        <f>1/(1+$G$12)^I49</f>
        <v>0.63551780306147354</v>
      </c>
    </row>
    <row r="69" spans="2:12">
      <c r="B69" s="193" t="s">
        <v>17</v>
      </c>
      <c r="C69" s="204">
        <f>SUM(E69:I69)</f>
        <v>12790500.155616589</v>
      </c>
      <c r="D69" s="205">
        <f t="shared" ref="D69:I69" si="9">D65*D68</f>
        <v>-10600000</v>
      </c>
      <c r="E69" s="206">
        <f t="shared" si="9"/>
        <v>639327.79249246512</v>
      </c>
      <c r="F69" s="207">
        <f t="shared" si="9"/>
        <v>1950107.0068876282</v>
      </c>
      <c r="G69" s="207">
        <f t="shared" si="9"/>
        <v>1975729.0390928218</v>
      </c>
      <c r="H69" s="207">
        <f t="shared" si="9"/>
        <v>3503396.8440484572</v>
      </c>
      <c r="I69" s="208">
        <f t="shared" si="9"/>
        <v>4721939.4730952168</v>
      </c>
    </row>
    <row r="70" spans="2:12" ht="15" thickBot="1">
      <c r="B70" s="193" t="s">
        <v>126</v>
      </c>
      <c r="C70" s="209">
        <v>9.4899999999999998E-2</v>
      </c>
      <c r="D70" s="210"/>
      <c r="E70" s="211"/>
      <c r="F70" s="212"/>
      <c r="G70" s="212"/>
      <c r="H70" s="212"/>
      <c r="I70" s="213"/>
    </row>
    <row r="71" spans="2:12" ht="15" thickBot="1">
      <c r="B71" s="214" t="s">
        <v>16</v>
      </c>
      <c r="C71" s="215">
        <f>NPV(G12,E65:I65)+D65</f>
        <v>2190500.155616587</v>
      </c>
      <c r="D71" s="216"/>
      <c r="E71" s="217"/>
      <c r="F71" s="217"/>
      <c r="G71" s="217"/>
      <c r="H71" s="217"/>
      <c r="I71" s="218"/>
    </row>
    <row r="72" spans="2:12">
      <c r="B72" s="219"/>
      <c r="C72" s="220"/>
      <c r="D72" s="221"/>
      <c r="E72" s="221"/>
      <c r="F72" s="221"/>
      <c r="G72" s="221"/>
      <c r="H72" s="221"/>
      <c r="I72" s="221"/>
    </row>
    <row r="73" spans="2:12">
      <c r="B73" t="s">
        <v>128</v>
      </c>
    </row>
    <row r="74" spans="2:12" ht="15" thickBot="1"/>
    <row r="75" spans="2:12">
      <c r="B75" s="233" t="s">
        <v>38</v>
      </c>
      <c r="C75" s="235" t="s">
        <v>32</v>
      </c>
      <c r="D75" s="235"/>
      <c r="E75" s="235"/>
      <c r="F75" s="235"/>
      <c r="G75" s="236"/>
      <c r="I75" s="28"/>
    </row>
    <row r="76" spans="2:12" ht="3.9" customHeight="1" thickBot="1">
      <c r="B76" s="234"/>
      <c r="C76" s="237"/>
      <c r="D76" s="237"/>
      <c r="E76" s="237"/>
      <c r="F76" s="237"/>
      <c r="G76" s="238"/>
      <c r="I76" s="28"/>
    </row>
    <row r="77" spans="2:12">
      <c r="B77" s="222"/>
      <c r="C77" s="239">
        <v>0</v>
      </c>
      <c r="D77" s="240">
        <v>0.01</v>
      </c>
      <c r="E77" s="240">
        <v>0.02</v>
      </c>
      <c r="F77" s="240">
        <v>0.03</v>
      </c>
      <c r="G77" s="241">
        <v>0.04</v>
      </c>
      <c r="I77" s="28"/>
    </row>
    <row r="78" spans="2:12">
      <c r="B78" s="222"/>
      <c r="C78" s="230"/>
      <c r="D78" s="231"/>
      <c r="E78" s="231"/>
      <c r="F78" s="231"/>
      <c r="G78" s="232"/>
      <c r="I78" s="28"/>
    </row>
    <row r="79" spans="2:12">
      <c r="B79" s="222"/>
      <c r="C79" s="230">
        <v>0.75</v>
      </c>
      <c r="D79" s="231">
        <v>0.8</v>
      </c>
      <c r="E79" s="231">
        <v>0.85</v>
      </c>
      <c r="F79" s="231">
        <v>0.9</v>
      </c>
      <c r="G79" s="232">
        <v>0.95</v>
      </c>
      <c r="I79" s="28"/>
      <c r="J79" s="82"/>
      <c r="K79" s="82"/>
    </row>
    <row r="80" spans="2:12">
      <c r="B80" s="223" t="s">
        <v>39</v>
      </c>
      <c r="C80" s="230"/>
      <c r="D80" s="231"/>
      <c r="E80" s="231"/>
      <c r="F80" s="231"/>
      <c r="G80" s="232"/>
      <c r="I80" s="28"/>
      <c r="J80" s="120"/>
      <c r="K80" s="120"/>
    </row>
    <row r="81" spans="2:9">
      <c r="B81" s="222"/>
      <c r="C81" s="230">
        <v>7.4999999999999997E-2</v>
      </c>
      <c r="D81" s="231">
        <v>8.5000000000000006E-2</v>
      </c>
      <c r="E81" s="231">
        <v>9.5000000000000001E-2</v>
      </c>
      <c r="F81" s="231">
        <v>0.105</v>
      </c>
      <c r="G81" s="232">
        <v>0.115</v>
      </c>
      <c r="I81" s="28"/>
    </row>
    <row r="82" spans="2:9">
      <c r="B82" s="222"/>
      <c r="C82" s="230"/>
      <c r="D82" s="231"/>
      <c r="E82" s="231"/>
      <c r="F82" s="231"/>
      <c r="G82" s="232"/>
      <c r="I82" s="28"/>
    </row>
    <row r="83" spans="2:9" ht="15" thickBot="1">
      <c r="B83" s="224"/>
      <c r="C83" s="225"/>
      <c r="D83" s="226"/>
      <c r="E83" s="226"/>
      <c r="F83" s="226"/>
      <c r="G83" s="227"/>
      <c r="I83" s="28"/>
    </row>
    <row r="86" spans="2:9">
      <c r="B86"/>
      <c r="C86" s="228"/>
    </row>
    <row r="87" spans="2:9">
      <c r="F87" s="120"/>
      <c r="G87" s="120"/>
      <c r="H87" s="120"/>
      <c r="I87" s="120"/>
    </row>
    <row r="88" spans="2:9">
      <c r="F88" s="229"/>
    </row>
  </sheetData>
  <mergeCells count="29">
    <mergeCell ref="B3:D3"/>
    <mergeCell ref="F3:H3"/>
    <mergeCell ref="B48:I48"/>
    <mergeCell ref="B27:I28"/>
    <mergeCell ref="C62:C63"/>
    <mergeCell ref="D62:D63"/>
    <mergeCell ref="E62:E63"/>
    <mergeCell ref="F62:F63"/>
    <mergeCell ref="G62:G63"/>
    <mergeCell ref="H62:H63"/>
    <mergeCell ref="I62:I63"/>
    <mergeCell ref="B62:B63"/>
    <mergeCell ref="B75:B76"/>
    <mergeCell ref="C75:G76"/>
    <mergeCell ref="C77:C78"/>
    <mergeCell ref="D77:D78"/>
    <mergeCell ref="E77:E78"/>
    <mergeCell ref="F77:F78"/>
    <mergeCell ref="G77:G78"/>
    <mergeCell ref="C79:C80"/>
    <mergeCell ref="D79:D80"/>
    <mergeCell ref="E79:E80"/>
    <mergeCell ref="F79:F80"/>
    <mergeCell ref="G79:G80"/>
    <mergeCell ref="C81:C82"/>
    <mergeCell ref="D81:D82"/>
    <mergeCell ref="E81:E82"/>
    <mergeCell ref="F81:F82"/>
    <mergeCell ref="G81:G82"/>
  </mergeCells>
  <pageMargins left="0.7" right="0.7" top="0.75" bottom="0.75" header="0.3" footer="0.3"/>
  <pageSetup paperSize="9" scale="50" orientation="landscape" horizontalDpi="4294967293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C769-D750-4DD1-9D7F-D8C80C1A4340}">
  <dimension ref="A1:BP33"/>
  <sheetViews>
    <sheetView tabSelected="1" zoomScale="80" zoomScaleNormal="80" workbookViewId="0">
      <selection activeCell="C1" sqref="C1"/>
    </sheetView>
  </sheetViews>
  <sheetFormatPr defaultRowHeight="14.4"/>
  <cols>
    <col min="1" max="1" width="36.6640625" bestFit="1" customWidth="1"/>
    <col min="2" max="2" width="18" customWidth="1"/>
    <col min="3" max="3" width="13.109375" customWidth="1"/>
    <col min="4" max="4" width="13.5546875" bestFit="1" customWidth="1"/>
    <col min="5" max="5" width="17.21875" bestFit="1" customWidth="1"/>
    <col min="6" max="6" width="20.44140625" bestFit="1" customWidth="1"/>
    <col min="7" max="7" width="25.6640625" customWidth="1"/>
    <col min="8" max="8" width="17.44140625" customWidth="1"/>
    <col min="9" max="9" width="22.77734375" customWidth="1"/>
    <col min="11" max="11" width="10.88671875" bestFit="1" customWidth="1"/>
    <col min="15" max="15" width="11.33203125" bestFit="1" customWidth="1"/>
    <col min="16" max="16" width="10.88671875" bestFit="1" customWidth="1"/>
    <col min="17" max="17" width="12.109375" bestFit="1" customWidth="1"/>
    <col min="68" max="68" width="14.44140625" bestFit="1" customWidth="1"/>
  </cols>
  <sheetData>
    <row r="1" spans="1:68" ht="15" thickBot="1">
      <c r="A1" s="18" t="s">
        <v>83</v>
      </c>
      <c r="B1" s="19">
        <f>WACC!C71</f>
        <v>2190500.155616587</v>
      </c>
    </row>
    <row r="2" spans="1:68" ht="16.2" thickBot="1">
      <c r="A2" s="8" t="s">
        <v>129</v>
      </c>
    </row>
    <row r="4" spans="1:68">
      <c r="A4" s="10" t="s">
        <v>130</v>
      </c>
      <c r="B4" s="12" t="s">
        <v>131</v>
      </c>
      <c r="C4" s="12" t="s">
        <v>132</v>
      </c>
      <c r="D4" s="12" t="s">
        <v>133</v>
      </c>
      <c r="E4" s="12" t="s">
        <v>169</v>
      </c>
      <c r="F4" s="12" t="s">
        <v>134</v>
      </c>
      <c r="G4" s="16" t="s">
        <v>138</v>
      </c>
    </row>
    <row r="5" spans="1:68" ht="57.6">
      <c r="A5" s="11" t="s">
        <v>135</v>
      </c>
      <c r="B5" s="15">
        <f>H12</f>
        <v>-7792940</v>
      </c>
      <c r="C5" s="13">
        <f>B1</f>
        <v>2190500.155616587</v>
      </c>
      <c r="D5" s="13">
        <f>H13</f>
        <v>10964124</v>
      </c>
      <c r="E5" s="45">
        <f>ABS(D5-B5)</f>
        <v>18757064</v>
      </c>
      <c r="F5" s="14">
        <f xml:space="preserve"> E5/ B1</f>
        <v>8.5629137947813643</v>
      </c>
      <c r="G5" s="17" t="s">
        <v>168</v>
      </c>
      <c r="BO5" s="11" t="s">
        <v>135</v>
      </c>
      <c r="BP5" s="46">
        <f>E5</f>
        <v>18757064</v>
      </c>
    </row>
    <row r="6" spans="1:68" ht="57.6">
      <c r="A6" s="11" t="s">
        <v>136</v>
      </c>
      <c r="B6" s="261">
        <f>C18</f>
        <v>7979172</v>
      </c>
      <c r="C6" s="13">
        <f>B1</f>
        <v>2190500.155616587</v>
      </c>
      <c r="D6" s="15">
        <f>E18</f>
        <v>-3794367</v>
      </c>
      <c r="E6" s="45">
        <f>ABS(D6-B6)</f>
        <v>11773539</v>
      </c>
      <c r="F6" s="14">
        <f t="shared" ref="F6:F7" si="0">E6/C6</f>
        <v>5.3748176962288126</v>
      </c>
      <c r="G6" s="17" t="s">
        <v>142</v>
      </c>
      <c r="BO6" s="11" t="s">
        <v>136</v>
      </c>
      <c r="BP6" s="46">
        <f>E6</f>
        <v>11773539</v>
      </c>
    </row>
    <row r="7" spans="1:68" ht="57.6">
      <c r="A7" s="11" t="s">
        <v>137</v>
      </c>
      <c r="B7" s="13">
        <f>C23</f>
        <v>2635679</v>
      </c>
      <c r="C7" s="13">
        <f>B1</f>
        <v>2190500.155616587</v>
      </c>
      <c r="D7" s="13">
        <f>E23</f>
        <v>1757255</v>
      </c>
      <c r="E7" s="45">
        <f>ABS(D7-B7)</f>
        <v>878424</v>
      </c>
      <c r="F7" s="14">
        <f>ABS(E7/C7)</f>
        <v>0.4010152648232701</v>
      </c>
      <c r="G7" s="17" t="s">
        <v>166</v>
      </c>
      <c r="BO7" s="11" t="s">
        <v>137</v>
      </c>
      <c r="BP7" s="46">
        <f>E7</f>
        <v>878424</v>
      </c>
    </row>
    <row r="8" spans="1:68">
      <c r="A8" s="5"/>
      <c r="B8" s="9"/>
      <c r="C8" s="9"/>
      <c r="D8" s="9"/>
      <c r="E8" s="9"/>
      <c r="F8" s="5"/>
    </row>
    <row r="9" spans="1:68">
      <c r="A9" s="5"/>
      <c r="B9" s="9"/>
      <c r="C9" s="9"/>
      <c r="D9" s="9"/>
      <c r="E9" s="9"/>
      <c r="F9" s="5"/>
      <c r="I9" s="43" t="s">
        <v>140</v>
      </c>
    </row>
    <row r="10" spans="1:68">
      <c r="A10" s="28"/>
      <c r="B10" s="28"/>
      <c r="C10" s="28"/>
      <c r="D10" s="28"/>
      <c r="E10" s="28"/>
      <c r="F10" s="22" t="s">
        <v>139</v>
      </c>
      <c r="G10" s="20">
        <v>0.01</v>
      </c>
      <c r="H10" s="28"/>
      <c r="I10" s="28"/>
    </row>
    <row r="11" spans="1:68">
      <c r="A11" s="23" t="s">
        <v>88</v>
      </c>
      <c r="B11" s="23" t="s">
        <v>82</v>
      </c>
      <c r="C11" s="24">
        <v>0.01</v>
      </c>
      <c r="D11" s="24">
        <v>1.4999999999999999E-2</v>
      </c>
      <c r="E11" s="24">
        <v>0.02</v>
      </c>
      <c r="F11" s="24">
        <v>2.5000000000000001E-2</v>
      </c>
      <c r="G11" s="24">
        <v>0.03</v>
      </c>
      <c r="H11" s="44" t="s">
        <v>86</v>
      </c>
      <c r="I11" s="44" t="s">
        <v>87</v>
      </c>
    </row>
    <row r="12" spans="1:68">
      <c r="A12" s="25"/>
      <c r="B12" s="25" t="s">
        <v>84</v>
      </c>
      <c r="C12" s="26">
        <v>0</v>
      </c>
      <c r="D12" s="26">
        <f t="shared" ref="D12:G13" si="1">C12+0.5%</f>
        <v>5.0000000000000001E-3</v>
      </c>
      <c r="E12" s="26">
        <f t="shared" si="1"/>
        <v>0.01</v>
      </c>
      <c r="F12" s="26">
        <f t="shared" si="1"/>
        <v>1.4999999999999999E-2</v>
      </c>
      <c r="G12" s="26">
        <f t="shared" si="1"/>
        <v>0.02</v>
      </c>
      <c r="H12" s="27">
        <v>-7792940</v>
      </c>
      <c r="I12" s="27">
        <f>H13-H12</f>
        <v>18757064</v>
      </c>
    </row>
    <row r="13" spans="1:68">
      <c r="A13" s="25"/>
      <c r="B13" s="25" t="s">
        <v>85</v>
      </c>
      <c r="C13" s="26">
        <v>0.02</v>
      </c>
      <c r="D13" s="26">
        <f t="shared" si="1"/>
        <v>2.5000000000000001E-2</v>
      </c>
      <c r="E13" s="26">
        <f t="shared" si="1"/>
        <v>3.0000000000000002E-2</v>
      </c>
      <c r="F13" s="26">
        <f t="shared" si="1"/>
        <v>3.5000000000000003E-2</v>
      </c>
      <c r="G13" s="26">
        <f t="shared" si="1"/>
        <v>0.04</v>
      </c>
      <c r="H13" s="27">
        <v>10964124</v>
      </c>
      <c r="I13" s="27"/>
    </row>
    <row r="14" spans="1:68">
      <c r="C14" s="4"/>
      <c r="I14" s="4"/>
    </row>
    <row r="15" spans="1:68">
      <c r="B15" s="4"/>
      <c r="H15" s="4"/>
      <c r="J15" s="4"/>
      <c r="K15" s="4"/>
    </row>
    <row r="16" spans="1:68">
      <c r="F16" s="35" t="s">
        <v>89</v>
      </c>
      <c r="G16" s="20">
        <v>0.85</v>
      </c>
    </row>
    <row r="17" spans="1:11">
      <c r="A17" s="29" t="s">
        <v>89</v>
      </c>
      <c r="B17" s="30">
        <v>0.75</v>
      </c>
      <c r="C17" s="30">
        <v>0.8</v>
      </c>
      <c r="D17" s="30">
        <v>0.85</v>
      </c>
      <c r="E17" s="30">
        <v>0.9</v>
      </c>
      <c r="F17" s="30">
        <v>0.95</v>
      </c>
      <c r="G17" s="31" t="s">
        <v>90</v>
      </c>
      <c r="H17" s="7"/>
      <c r="I17" s="7"/>
    </row>
    <row r="18" spans="1:11">
      <c r="A18" s="32"/>
      <c r="B18" s="33">
        <v>13512113</v>
      </c>
      <c r="C18" s="33">
        <v>7979172</v>
      </c>
      <c r="D18" s="34">
        <v>2190500</v>
      </c>
      <c r="E18" s="33">
        <v>-3794367</v>
      </c>
      <c r="F18" s="33">
        <v>-10742478</v>
      </c>
      <c r="G18" s="33">
        <f>C18-E18</f>
        <v>11773539</v>
      </c>
      <c r="J18" s="5"/>
      <c r="K18" s="5"/>
    </row>
    <row r="19" spans="1:11">
      <c r="I19" s="6"/>
      <c r="J19" s="5"/>
      <c r="K19" s="5"/>
    </row>
    <row r="21" spans="1:11">
      <c r="F21" s="42" t="s">
        <v>141</v>
      </c>
      <c r="G21" s="21">
        <v>9.4899999999999998E-2</v>
      </c>
    </row>
    <row r="22" spans="1:11">
      <c r="A22" s="36" t="s">
        <v>20</v>
      </c>
      <c r="B22" s="37">
        <v>7.4999999999999997E-2</v>
      </c>
      <c r="C22" s="37">
        <v>8.5000000000000006E-2</v>
      </c>
      <c r="D22" s="37">
        <v>9.5000000000000001E-2</v>
      </c>
      <c r="E22" s="37">
        <v>0.105</v>
      </c>
      <c r="F22" s="37">
        <v>0.115</v>
      </c>
      <c r="G22" s="38" t="s">
        <v>91</v>
      </c>
    </row>
    <row r="23" spans="1:11">
      <c r="A23" s="39"/>
      <c r="B23" s="40">
        <v>3107213</v>
      </c>
      <c r="C23" s="40">
        <v>2635679</v>
      </c>
      <c r="D23" s="260">
        <v>2190500</v>
      </c>
      <c r="E23" s="40">
        <v>1757255</v>
      </c>
      <c r="F23" s="40">
        <v>1347954</v>
      </c>
      <c r="G23" s="41">
        <f>C23-E23</f>
        <v>878424</v>
      </c>
    </row>
    <row r="26" spans="1:11" ht="15" thickBot="1"/>
    <row r="27" spans="1:11" ht="16.2" thickBot="1">
      <c r="A27" s="8" t="s">
        <v>143</v>
      </c>
    </row>
    <row r="29" spans="1:11">
      <c r="A29" t="s">
        <v>144</v>
      </c>
    </row>
    <row r="30" spans="1:11">
      <c r="A30" t="s">
        <v>145</v>
      </c>
    </row>
    <row r="31" spans="1:11">
      <c r="A31" t="s">
        <v>167</v>
      </c>
    </row>
    <row r="33" spans="1:1">
      <c r="A33" t="s">
        <v>146</v>
      </c>
    </row>
  </sheetData>
  <conditionalFormatting sqref="F5:F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Regression Analysis</vt:lpstr>
      <vt:lpstr>Beta</vt:lpstr>
      <vt:lpstr>WACC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</dc:creator>
  <cp:lastModifiedBy>Gibson G</cp:lastModifiedBy>
  <cp:lastPrinted>2023-10-23T20:04:43Z</cp:lastPrinted>
  <dcterms:created xsi:type="dcterms:W3CDTF">2020-01-30T01:29:51Z</dcterms:created>
  <dcterms:modified xsi:type="dcterms:W3CDTF">2026-02-09T08:50:41Z</dcterms:modified>
</cp:coreProperties>
</file>